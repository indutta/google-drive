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MIS" sheetId="2" state="visible" r:id="rId4"/>
    <sheet name="IN_PLF" sheetId="3" state="visible" r:id="rId5"/>
    <sheet name="IN_Contrib" sheetId="4" state="visible" r:id="rId6"/>
    <sheet name="IN_HO" sheetId="5" state="visible" r:id="rId7"/>
    <sheet name="CONTRIB_SUM" sheetId="6" state="visible" r:id="rId8"/>
    <sheet name="CHECK" sheetId="7" state="visible" r:id="rId9"/>
    <sheet name="PY_COMPARE" sheetId="8" state="visible" r:id="rId10"/>
  </sheets>
  <definedNames>
    <definedName function="false" hidden="true" localSheetId="3" name="_xlnm._FilterDatabase" vbProcedure="false">IN_Contrib!$A$3:$AG$687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<sst xmlns="http://schemas.openxmlformats.org/spreadsheetml/2006/main" count="3291" uniqueCount="437">
  <si>
    <t xml:space="preserve">DATRE CORPORATION LIMITED - MIS FINALISATION TEMPLATE (HO ACCOUNTS)</t>
  </si>
  <si>
    <t xml:space="preserve">Financial year 2026-27 | Rs. in Lacs</t>
  </si>
  <si>
    <t xml:space="preserve">FLOW</t>
  </si>
  <si>
    <t xml:space="preserve">1. Factory feeds monthly P&amp;L data  -&gt;  sheet IN_PLF (column for the month).</t>
  </si>
  <si>
    <t xml:space="preserve">2. Factory / Costing feeds product-wise contribution rows  -&gt;  sheet IN_Contrib (append rows; FY and Month text must match, e.g. 2026-27 / October).</t>
  </si>
  <si>
    <t xml:space="preserve">3. HO Accounts enters ledger items and adjustments  -&gt;  sheet IN_HO (admin, salary, adjustments, MT statistics, collections).</t>
  </si>
  <si>
    <t xml:space="preserve">4. Sheet MIS recalculates automatically (same layout as the published 'P&amp;L for the year 2026-27 (Based on Sales)').</t>
  </si>
  <si>
    <t xml:space="preserve">5. Sheet CONTRIB_SUM summarises contribution data by month / customer and cross-checks against MIS.</t>
  </si>
  <si>
    <t xml:space="preserve">6. Sheet CHECK compares MIS output with the published Sept'26 MIS (Apr-Sep) - use as proof of the formula logic. Clear/ignore from Oct'26 onward.</t>
  </si>
  <si>
    <t xml:space="preserve">7. Sheet PY_COMPARE holds the prior-year statistics from the published MIS; FY26-27 rows link live to MIS.</t>
  </si>
  <si>
    <t xml:space="preserve">COLOUR CODE</t>
  </si>
  <si>
    <t xml:space="preserve">Blue font = hard-coded input.  Black = formula.  Yellow fill = item to confirm/explain (see notes).</t>
  </si>
  <si>
    <t xml:space="preserve">MAPPING RULES USED (reverse-engineered from the Sept'26 MIS vs factory PL data)</t>
  </si>
  <si>
    <t xml:space="preserve">Sales ex-GST = PL row 8 (Sale for the month); GST = ROUND(Sales x 18%,2); Sales incl GST = ex GST + GST.</t>
  </si>
  <si>
    <t xml:space="preserve">Sales return = PL row 10; Stock of returned goods = PL row 7 (Incr/Decr); Other business income = PL 'Pattern' income.</t>
  </si>
  <si>
    <t xml:space="preserve">Material consumed = PL row 1 + HO adjustment.   (Inc)/Dec in stock = -(PL row 6) + HO adjustment (sign reversed vs factory).</t>
  </si>
  <si>
    <t xml:space="preserve">Power variable = PL 'Power cost excl. demand' + adj.   Power fixed = PL 'Demand charges'.   Job-work = PL row 2 + adj.</t>
  </si>
  <si>
    <t xml:space="preserve">Repair &amp; maintenance = PL row 4.   Other mfg OH (fixed) = PL row 5 less selling-expense carve-out.   Selling expenses = carve-out (transport on sale returns).</t>
  </si>
  <si>
    <t xml:space="preserve">Admin expenses and Salary &amp; Wages are NOT in the factory PL feed - HO enters them in IN_HO.</t>
  </si>
  <si>
    <t xml:space="preserve">Storage facility income = PL 'Storage Facility Service Ch'.   EBITDA = Profit after deferred rev. exp + storage income.   PBT = EBITDA - depreciation - interest.</t>
  </si>
  <si>
    <t xml:space="preserve">Contribution = (Net sales + other income + stock of returns) - Net variable costs.</t>
  </si>
  <si>
    <t xml:space="preserve">Realisation/MT = PL row 8a (actual despatch value) / Despatch MT.</t>
  </si>
  <si>
    <t xml:space="preserve">POINTS TO CONFIRM (found while tying out to the published Sept'26 MIS)</t>
  </si>
  <si>
    <t xml:space="preserve">a) HO adjustments in IN_HO rows 8-13 were back-solved from the published MIS (published less factory feed). Their nature is not visible in the PDFs - HO to document each one. Differences &lt;= 0.02 are rounding.</t>
  </si>
  <si>
    <t xml:space="preserve">b) Published MIS Jul'26 Production (84.62), Despatch (36.67), Rejections (6.90) and Realisation (2.45) are identical to May'26 - looks like a copy-forward error. Left as published in IN_HO (yellow) pending correction.</t>
  </si>
  <si>
    <t xml:space="preserve">c) Jul'26 Pattern income 0.06 is shown under Storage income in the published MIS (Other business income shows nil) - kept via reclass row IN_HO row 13.</t>
  </si>
  <si>
    <t xml:space="preserve">d) Jun'26 transport on sales return 0.29 stays in Other Mfg OH, while Sep'26 3.22 was moved to Selling Expenses - inconsistent treatment (no PBT impact).</t>
  </si>
  <si>
    <t xml:space="preserve">e) Product-wise Contribution sheet 'Pouring MT' does not equal MIS 'Production (MT)' (e.g. Apr'26 39.09 vs 33.56). It is used as a cross-check, not as the MIS production figure. HO to confirm the intended definition.</t>
  </si>
  <si>
    <t xml:space="preserve">f) Contribution-sheet total variable cost/kg uses standard costs; ledger contribution in MIS is on actuals - differences are expected and shown in CONTRIB_SUM.</t>
  </si>
  <si>
    <t xml:space="preserve">MONTHLY UPDATE STEPS</t>
  </si>
  <si>
    <t xml:space="preserve">Paste factory PL figures into the month column of IN_PLF &gt; append contribution rows in IN_Contrib &gt; fill IN_HO for the month &gt; review MIS and CONTRIB_SUM &gt; clear yellow flags.</t>
  </si>
  <si>
    <t xml:space="preserve">DATRE CORPORATION LIMITED</t>
  </si>
  <si>
    <t xml:space="preserve">PROFIT AND LOSS ACCOUNT for the year 2026-27 (Based on Sales)</t>
  </si>
  <si>
    <t xml:space="preserve">Rs. In Lacs</t>
  </si>
  <si>
    <t xml:space="preserve">Average/Month</t>
  </si>
  <si>
    <t xml:space="preserve">PARTICULARS</t>
  </si>
  <si>
    <t xml:space="preserve">APR'26</t>
  </si>
  <si>
    <t xml:space="preserve">MAY'26</t>
  </si>
  <si>
    <t xml:space="preserve">JUN'26</t>
  </si>
  <si>
    <t xml:space="preserve">1st Qtr</t>
  </si>
  <si>
    <t xml:space="preserve">JUL'26</t>
  </si>
  <si>
    <t xml:space="preserve">AUG'26</t>
  </si>
  <si>
    <t xml:space="preserve">SEP'26</t>
  </si>
  <si>
    <t xml:space="preserve">2nd Qtr</t>
  </si>
  <si>
    <t xml:space="preserve">OCT'26</t>
  </si>
  <si>
    <t xml:space="preserve">NOV'26</t>
  </si>
  <si>
    <t xml:space="preserve">DEC'26</t>
  </si>
  <si>
    <t xml:space="preserve">3rd Qtr</t>
  </si>
  <si>
    <t xml:space="preserve">JAN'27</t>
  </si>
  <si>
    <t xml:space="preserve">FEB'27</t>
  </si>
  <si>
    <t xml:space="preserve">MAR'27</t>
  </si>
  <si>
    <t xml:space="preserve">4th Qtr</t>
  </si>
  <si>
    <t xml:space="preserve">Total</t>
  </si>
  <si>
    <t xml:space="preserve">Turnover :</t>
  </si>
  <si>
    <t xml:space="preserve">Sales Domestic (incl GST)</t>
  </si>
  <si>
    <t xml:space="preserve">Less GST</t>
  </si>
  <si>
    <t xml:space="preserve">Sales Domestic (ex GST)</t>
  </si>
  <si>
    <t xml:space="preserve">Less: Sales Return</t>
  </si>
  <si>
    <t xml:space="preserve">Net Sales</t>
  </si>
  <si>
    <t xml:space="preserve">Other Business Income/Sales</t>
  </si>
  <si>
    <t xml:space="preserve">Stock of Return Goods (Valued at Sales Price)</t>
  </si>
  <si>
    <t xml:space="preserve">Net turnover for contribution</t>
  </si>
  <si>
    <t xml:space="preserve">Direct Expenditure (Variable Costs):</t>
  </si>
  <si>
    <t xml:space="preserve">Material Consumed-Direct &amp; Indirect</t>
  </si>
  <si>
    <t xml:space="preserve">(Increase)/Decrease in Stock</t>
  </si>
  <si>
    <t xml:space="preserve">Manufacturing Overheads:</t>
  </si>
  <si>
    <t xml:space="preserve">- Power &amp; Fuel (Variable part)</t>
  </si>
  <si>
    <t xml:space="preserve">- Job-work Charges</t>
  </si>
  <si>
    <t xml:space="preserve">Total Net Variable Costs</t>
  </si>
  <si>
    <t xml:space="preserve">Contributions</t>
  </si>
  <si>
    <t xml:space="preserve">Indirect Expenses (Fixed):</t>
  </si>
  <si>
    <t xml:space="preserve">Administrative Expenses</t>
  </si>
  <si>
    <t xml:space="preserve">Material Consumed - Repair &amp; maintt.</t>
  </si>
  <si>
    <t xml:space="preserve">Other Manufacturing Overhead (Fixed)</t>
  </si>
  <si>
    <t xml:space="preserve">Salary &amp; Wages</t>
  </si>
  <si>
    <t xml:space="preserve">- Power &amp; Fuel (Fixed Part - Max Demand Charges)</t>
  </si>
  <si>
    <t xml:space="preserve">Selling Expenses</t>
  </si>
  <si>
    <t xml:space="preserve">Total Fixed Costs</t>
  </si>
  <si>
    <t xml:space="preserve">NET PROFIT FROM OPERATIONS</t>
  </si>
  <si>
    <t xml:space="preserve">Less: Deferred Revenue Expenses</t>
  </si>
  <si>
    <t xml:space="preserve">Less: Other Non-Operating Expenses</t>
  </si>
  <si>
    <t xml:space="preserve">Profit after Deferred Revenue Expenditure</t>
  </si>
  <si>
    <t xml:space="preserve">Net Income from Storage Facility Service Charges</t>
  </si>
  <si>
    <t xml:space="preserve">EBITDA</t>
  </si>
  <si>
    <t xml:space="preserve">Depreciation</t>
  </si>
  <si>
    <t xml:space="preserve">Interest</t>
  </si>
  <si>
    <t xml:space="preserve">PBT 2026-27</t>
  </si>
  <si>
    <t xml:space="preserve">STATISTICS - 2026-27</t>
  </si>
  <si>
    <t xml:space="preserve">Production (MT)</t>
  </si>
  <si>
    <t xml:space="preserve">Despatch (MT)</t>
  </si>
  <si>
    <t xml:space="preserve">In-house Rejections (MT)</t>
  </si>
  <si>
    <t xml:space="preserve">Realisation/MT (Rs. in lac) = actual despatch value / despatch MT</t>
  </si>
  <si>
    <t xml:space="preserve">Sales net of Return (without GST, O/Income)</t>
  </si>
  <si>
    <t xml:space="preserve">Collections (including GST)</t>
  </si>
  <si>
    <t xml:space="preserve">PBT</t>
  </si>
  <si>
    <t xml:space="preserve">- NET PROFIT FROM OPERATIONS</t>
  </si>
  <si>
    <t xml:space="preserve">- Income from Storage Facility Service Ch</t>
  </si>
  <si>
    <t xml:space="preserve">CROSS-CHECK FROM CONTRIBUTION DATA (IN_Contrib) - not part of published MIS</t>
  </si>
  <si>
    <t xml:space="preserve">Pouring MT per Contribution sheet</t>
  </si>
  <si>
    <t xml:space="preserve">Rejection MT per Contribution sheet (Nos x wt)</t>
  </si>
  <si>
    <t xml:space="preserve">Customer-wise contribution (Pouring &amp; rejn.) Rs L</t>
  </si>
  <si>
    <t xml:space="preserve">Loss of contribution - rejn &amp; destruct test Rs L</t>
  </si>
  <si>
    <t xml:space="preserve">Variance: MIS Production MT - Pouring MT</t>
  </si>
  <si>
    <t xml:space="preserve">Variance: MIS Rejection MT - Contribution-sheet Rejection MT</t>
  </si>
  <si>
    <t xml:space="preserve">Ledger Contribution (MIS) - Customer-wise contribution (Contribution sheet)</t>
  </si>
  <si>
    <t xml:space="preserve">PL FACTORY DATA - monthly feed from factory (Rs. Lacs)</t>
  </si>
  <si>
    <t xml:space="preserve">Sl</t>
  </si>
  <si>
    <t xml:space="preserve">Particulars</t>
  </si>
  <si>
    <t xml:space="preserve">Apr'26</t>
  </si>
  <si>
    <t xml:space="preserve">May'26</t>
  </si>
  <si>
    <t xml:space="preserve">Jun'26</t>
  </si>
  <si>
    <t xml:space="preserve">Jul'26</t>
  </si>
  <si>
    <t xml:space="preserve">Aug'26</t>
  </si>
  <si>
    <t xml:space="preserve">Sep'26</t>
  </si>
  <si>
    <t xml:space="preserve">Oct'26</t>
  </si>
  <si>
    <t xml:space="preserve">Nov'26</t>
  </si>
  <si>
    <t xml:space="preserve">Dec'26</t>
  </si>
  <si>
    <t xml:space="preserve">Jan'27</t>
  </si>
  <si>
    <t xml:space="preserve">Feb'27</t>
  </si>
  <si>
    <t xml:space="preserve">Mar'27</t>
  </si>
  <si>
    <t xml:space="preserve">1</t>
  </si>
  <si>
    <t xml:space="preserve">Material Consumption:</t>
  </si>
  <si>
    <t xml:space="preserve">  Basic RM</t>
  </si>
  <si>
    <t xml:space="preserve">  Consumables</t>
  </si>
  <si>
    <t xml:space="preserve">  Addln. Exp on Purchase</t>
  </si>
  <si>
    <t xml:space="preserve">2</t>
  </si>
  <si>
    <t xml:space="preserve">Contractual Prodn Expenses (Job):</t>
  </si>
  <si>
    <t xml:space="preserve">  Krishna Enterprise - MLT MLD Etc</t>
  </si>
  <si>
    <t xml:space="preserve">  Rahaman Enterprise QC</t>
  </si>
  <si>
    <t xml:space="preserve">  Krishna Enterprise / Rahaman - FLT</t>
  </si>
  <si>
    <t xml:space="preserve">  Sree Engineering</t>
  </si>
  <si>
    <t xml:space="preserve">  Tapas Samanta &amp; Outside-Inside Machining</t>
  </si>
  <si>
    <t xml:space="preserve">  Outside H/T</t>
  </si>
  <si>
    <t xml:space="preserve">  Radiography Charges</t>
  </si>
  <si>
    <t xml:space="preserve">3</t>
  </si>
  <si>
    <t xml:space="preserve">Power</t>
  </si>
  <si>
    <t xml:space="preserve">  Demand Charges</t>
  </si>
  <si>
    <t xml:space="preserve">  Power Cost - Excl. Demand Charge</t>
  </si>
  <si>
    <t xml:space="preserve">  DG fuel</t>
  </si>
  <si>
    <t xml:space="preserve">4</t>
  </si>
  <si>
    <t xml:space="preserve">Consumption for Plant &amp; Mach. Maintenance:</t>
  </si>
  <si>
    <t xml:space="preserve">5</t>
  </si>
  <si>
    <t xml:space="preserve">Other Expenses as per trial (Factory):</t>
  </si>
  <si>
    <t xml:space="preserve">  Machinery Maintenance - Service</t>
  </si>
  <si>
    <t xml:space="preserve">  Maintenance - Building</t>
  </si>
  <si>
    <t xml:space="preserve">  Security Exp</t>
  </si>
  <si>
    <t xml:space="preserve">  Manufacturing OH</t>
  </si>
  <si>
    <t xml:space="preserve">  Selling &amp; Distribution Exp</t>
  </si>
  <si>
    <t xml:space="preserve">  Business Promotion</t>
  </si>
  <si>
    <t xml:space="preserve">  Transport agst Sale</t>
  </si>
  <si>
    <t xml:space="preserve">  Transport sale return</t>
  </si>
  <si>
    <t xml:space="preserve">  Liquidity damages</t>
  </si>
  <si>
    <t xml:space="preserve">6</t>
  </si>
  <si>
    <t xml:space="preserve">Increase(+)/Decrease(-) in Stock (WIP)  [as reported by factory]</t>
  </si>
  <si>
    <t xml:space="preserve">  OP WIP</t>
  </si>
  <si>
    <t xml:space="preserve">  CL WIP</t>
  </si>
  <si>
    <t xml:space="preserve">7</t>
  </si>
  <si>
    <t xml:space="preserve">Increase(+)/Decrease(-) of Stock of Returned Goods  [as reported]</t>
  </si>
  <si>
    <t xml:space="preserve">  OP Stock</t>
  </si>
  <si>
    <t xml:space="preserve">  CL Stock</t>
  </si>
  <si>
    <t xml:space="preserve">8</t>
  </si>
  <si>
    <t xml:space="preserve">Sale (Fresh &amp; Cus Ret. Goods) for the month:</t>
  </si>
  <si>
    <t xml:space="preserve">  a. Actual despatch Made</t>
  </si>
  <si>
    <t xml:space="preserve">  b. Ready to despatch _ Adjustment</t>
  </si>
  <si>
    <t xml:space="preserve">9</t>
  </si>
  <si>
    <t xml:space="preserve">Other Sale / Income</t>
  </si>
  <si>
    <t xml:space="preserve">  Foundry return (Unusable)</t>
  </si>
  <si>
    <t xml:space="preserve">  Pattern</t>
  </si>
  <si>
    <t xml:space="preserve">  Transport ch</t>
  </si>
  <si>
    <t xml:space="preserve">  Storage Facility Service Ch</t>
  </si>
  <si>
    <t xml:space="preserve">  Electricity Facility To almatis</t>
  </si>
  <si>
    <t xml:space="preserve">  Suppl. Bill of Earlier Months</t>
  </si>
  <si>
    <t xml:space="preserve">  Suppl. Bill of Earlier Year</t>
  </si>
  <si>
    <t xml:space="preserve">10</t>
  </si>
  <si>
    <t xml:space="preserve">Sales Return for the month (repairable goods included in Stock - returned goods):</t>
  </si>
  <si>
    <t xml:space="preserve">11</t>
  </si>
  <si>
    <t xml:space="preserve">Raw material recovery from rejection of customers' returned goods (memo - not in PAT):</t>
  </si>
  <si>
    <t xml:space="preserve">  Value of Rejection at Sale Price</t>
  </si>
  <si>
    <t xml:space="preserve">  Raw Material Realisation</t>
  </si>
  <si>
    <t xml:space="preserve">  Loss on Returned Customer Goods Rejection</t>
  </si>
  <si>
    <t xml:space="preserve">CHECKS</t>
  </si>
  <si>
    <t xml:space="preserve">WIP: CL - OP - reported change (should be ~0)</t>
  </si>
  <si>
    <t xml:space="preserve">Returned goods: CL - OP - reported change (should be ~0)</t>
  </si>
  <si>
    <t xml:space="preserve">CONTRIBUTION DATA - product-wise monthly cost sheet (append new month rows below; keep Year/Month text exact)</t>
  </si>
  <si>
    <t xml:space="preserve">Customer</t>
  </si>
  <si>
    <t xml:space="preserve">Year</t>
  </si>
  <si>
    <t xml:space="preserve">Month</t>
  </si>
  <si>
    <t xml:space="preserve">Product</t>
  </si>
  <si>
    <t xml:space="preserve">Weight per Casting (Kg)</t>
  </si>
  <si>
    <t xml:space="preserve">Pouring (Nos)</t>
  </si>
  <si>
    <t xml:space="preserve">Prodn-Pouring (MT)</t>
  </si>
  <si>
    <t xml:space="preserve">Rejn In House (Nos)</t>
  </si>
  <si>
    <t xml:space="preserve">Destruct. Test (Nos)</t>
  </si>
  <si>
    <t xml:space="preserve">Effective Yield %</t>
  </si>
  <si>
    <t xml:space="preserve">Melting Raw Mat Cost Rs/kg</t>
  </si>
  <si>
    <t xml:space="preserve">Melting Refractories etc Rs/kg</t>
  </si>
  <si>
    <t xml:space="preserve">MLD Mat Cost Rs/kg</t>
  </si>
  <si>
    <t xml:space="preserve">FTL Mat Cost Rs/kg</t>
  </si>
  <si>
    <t xml:space="preserve">Component Rs/kg</t>
  </si>
  <si>
    <t xml:space="preserve">Inspn Mat Rs/kg</t>
  </si>
  <si>
    <t xml:space="preserve">Spl Material per Kg</t>
  </si>
  <si>
    <t xml:space="preserve">Packg &amp; Painting Rs/kg</t>
  </si>
  <si>
    <t xml:space="preserve">Total Material Cost Rs/kg</t>
  </si>
  <si>
    <t xml:space="preserve">Other Direct Exp per Kg</t>
  </si>
  <si>
    <t xml:space="preserve">Labour Charges Rs/kg</t>
  </si>
  <si>
    <t xml:space="preserve">Power Cost (Var) Rs/kg</t>
  </si>
  <si>
    <t xml:space="preserve">Total Var Cost Rs/kg</t>
  </si>
  <si>
    <t xml:space="preserve">Effective Sale Price Rs/kg</t>
  </si>
  <si>
    <t xml:space="preserve">Contribution Rs/kg</t>
  </si>
  <si>
    <t xml:space="preserve">Customer-wise Contribution Rs L</t>
  </si>
  <si>
    <t xml:space="preserve">Rejn Loss (Exc OH) Rs L</t>
  </si>
  <si>
    <t xml:space="preserve">Loss on Destruct Test Rs L</t>
  </si>
  <si>
    <t xml:space="preserve">Loss of Contribution Rejn &amp; Destr. Rs L</t>
  </si>
  <si>
    <t xml:space="preserve">Rejection MT (calc)</t>
  </si>
  <si>
    <t xml:space="preserve">Destruct Test MT (calc)</t>
  </si>
  <si>
    <t xml:space="preserve">Var Cost check (Mat+Oth+Lab+Pow-Total)</t>
  </si>
  <si>
    <t xml:space="preserve">Contrib/kg check (Sale-Var-Contr)</t>
  </si>
  <si>
    <t xml:space="preserve">Tega</t>
  </si>
  <si>
    <t xml:space="preserve">2022-23</t>
  </si>
  <si>
    <t xml:space="preserve">April</t>
  </si>
  <si>
    <t xml:space="preserve">RM-22-00587E000-T1</t>
  </si>
  <si>
    <t xml:space="preserve">RM-22-00589E000-T1</t>
  </si>
  <si>
    <t xml:space="preserve">RM-22-01952AN00-T1</t>
  </si>
  <si>
    <t xml:space="preserve">RM-22-01879ON00-T1</t>
  </si>
  <si>
    <t xml:space="preserve">RM-22-02783ON00-T1</t>
  </si>
  <si>
    <t xml:space="preserve">RM-22-07245ON00-T1</t>
  </si>
  <si>
    <t xml:space="preserve">May</t>
  </si>
  <si>
    <t xml:space="preserve">RM-22-06182ON00-T1</t>
  </si>
  <si>
    <t xml:space="preserve">RM-22-02782ON00-T1</t>
  </si>
  <si>
    <t xml:space="preserve">August</t>
  </si>
  <si>
    <t xml:space="preserve">RM-22-00593C000-T1</t>
  </si>
  <si>
    <t xml:space="preserve">RM-22-00591C000-T1</t>
  </si>
  <si>
    <t xml:space="preserve">RM-22-01972AN00-T1</t>
  </si>
  <si>
    <t xml:space="preserve">RM-22-00919AN00-T1</t>
  </si>
  <si>
    <t xml:space="preserve">September</t>
  </si>
  <si>
    <t xml:space="preserve">December</t>
  </si>
  <si>
    <t xml:space="preserve">RM-22-00595G000-T1</t>
  </si>
  <si>
    <t xml:space="preserve">RM-22-03070CN00-T1</t>
  </si>
  <si>
    <t xml:space="preserve">RM-22-03070CN01-T1</t>
  </si>
  <si>
    <t xml:space="preserve">RM-22-03070CN02-T1</t>
  </si>
  <si>
    <t xml:space="preserve">January</t>
  </si>
  <si>
    <t xml:space="preserve">February</t>
  </si>
  <si>
    <t xml:space="preserve">RM-22-01945AN00-T1</t>
  </si>
  <si>
    <t xml:space="preserve">RM-22-01944AN00-T1</t>
  </si>
  <si>
    <t xml:space="preserve">RM-22-01973AN00-T1</t>
  </si>
  <si>
    <t xml:space="preserve">RM-22-01974AN00-T1</t>
  </si>
  <si>
    <t xml:space="preserve">March</t>
  </si>
  <si>
    <t xml:space="preserve">RM-22-01976AN00-T1</t>
  </si>
  <si>
    <t xml:space="preserve">RM-22-05785AN00-T1</t>
  </si>
  <si>
    <t xml:space="preserve">RM-22-05786AN00-T1</t>
  </si>
  <si>
    <t xml:space="preserve">RM-22-05788AN00-T1</t>
  </si>
  <si>
    <t xml:space="preserve">RM-22-05735ON00-T1</t>
  </si>
  <si>
    <t xml:space="preserve">RM-22-05735ON01-T1</t>
  </si>
  <si>
    <t xml:space="preserve">RM-22-06573ON00-T1</t>
  </si>
  <si>
    <t xml:space="preserve">RM-22-07980N00-T1</t>
  </si>
  <si>
    <t xml:space="preserve">RM-22-09303ON00-M2</t>
  </si>
  <si>
    <t xml:space="preserve">2023-24</t>
  </si>
  <si>
    <t xml:space="preserve">RM-22-05946AN00-T1</t>
  </si>
  <si>
    <t xml:space="preserve">RM-22-05947AN00-T1</t>
  </si>
  <si>
    <t xml:space="preserve">June</t>
  </si>
  <si>
    <t xml:space="preserve">RM-22-00773B000-T1</t>
  </si>
  <si>
    <t xml:space="preserve">RM-22-01893AN00-T1</t>
  </si>
  <si>
    <t xml:space="preserve">RM-22-03334ON00-T1</t>
  </si>
  <si>
    <t xml:space="preserve">July</t>
  </si>
  <si>
    <t xml:space="preserve">RM-22-00803A000-T1</t>
  </si>
  <si>
    <t xml:space="preserve">RM-22-00583B000-T1</t>
  </si>
  <si>
    <t xml:space="preserve">RM-22-00631E000-T1</t>
  </si>
  <si>
    <t xml:space="preserve">RM-22-00488E000-T1</t>
  </si>
  <si>
    <t xml:space="preserve">October</t>
  </si>
  <si>
    <t xml:space="preserve">November</t>
  </si>
  <si>
    <t xml:space="preserve">RM-22-02718KN00-T1</t>
  </si>
  <si>
    <t xml:space="preserve">RM-22-00605E000-T1</t>
  </si>
  <si>
    <t xml:space="preserve">RM-22-05635ON00-T1</t>
  </si>
  <si>
    <t xml:space="preserve">RM-22-05636ON00-T1</t>
  </si>
  <si>
    <t xml:space="preserve">RM-22-09643ON00-T1</t>
  </si>
  <si>
    <t xml:space="preserve">RM-22-05312CN01-T1</t>
  </si>
  <si>
    <t xml:space="preserve">RM-22-05312CN00-T1</t>
  </si>
  <si>
    <t xml:space="preserve">2024-25</t>
  </si>
  <si>
    <t xml:space="preserve">RM-22-05735ON03-T1</t>
  </si>
  <si>
    <t xml:space="preserve">RM-22-09967ON00-T1</t>
  </si>
  <si>
    <t xml:space="preserve">RM-22-09970ON00-T1</t>
  </si>
  <si>
    <t xml:space="preserve">RM-22-09971ON00-T1</t>
  </si>
  <si>
    <t xml:space="preserve">RM-22-07149ON03-T1</t>
  </si>
  <si>
    <t xml:space="preserve">RM-22-10236ON00-T1</t>
  </si>
  <si>
    <t xml:space="preserve">RM-22-10237ON00-T1</t>
  </si>
  <si>
    <t xml:space="preserve">RM-22-10238ON00-T1</t>
  </si>
  <si>
    <t xml:space="preserve">RM-22-00596G000-T1</t>
  </si>
  <si>
    <t xml:space="preserve">RM-22-00930CN00-T1</t>
  </si>
  <si>
    <t xml:space="preserve">RM-22-05461ON00-T1</t>
  </si>
  <si>
    <t xml:space="preserve">RM-22-02718LN00-T1</t>
  </si>
  <si>
    <t xml:space="preserve">RM-22-07258ON01-T1</t>
  </si>
  <si>
    <t xml:space="preserve">2025-26</t>
  </si>
  <si>
    <t xml:space="preserve">RM-22-11022ON00-T1</t>
  </si>
  <si>
    <t xml:space="preserve">RM-22-11022ON02-T1</t>
  </si>
  <si>
    <t xml:space="preserve">RM-22-11025ON00-T1</t>
  </si>
  <si>
    <t xml:space="preserve">RM-22-11027ON00-T1</t>
  </si>
  <si>
    <t xml:space="preserve">RM-22-11028ON00-T1</t>
  </si>
  <si>
    <t xml:space="preserve">2026-27</t>
  </si>
  <si>
    <t xml:space="preserve">RM-22-11493ON00-T1</t>
  </si>
  <si>
    <t xml:space="preserve">RM-22-11494ON00-T1</t>
  </si>
  <si>
    <t xml:space="preserve">RM-22-11906ON00-T1</t>
  </si>
  <si>
    <t xml:space="preserve">RM-22-11907ON00-T1</t>
  </si>
  <si>
    <t xml:space="preserve">RM-22-11909ON00-T1</t>
  </si>
  <si>
    <t xml:space="preserve">RM-22-11910ON00-T1</t>
  </si>
  <si>
    <t xml:space="preserve">RM-22-11939ON00-TI</t>
  </si>
  <si>
    <t xml:space="preserve">Thejo Engineering</t>
  </si>
  <si>
    <t xml:space="preserve">Chrome Moly Liner Plate</t>
  </si>
  <si>
    <t xml:space="preserve">Lifter Bar C-1</t>
  </si>
  <si>
    <t xml:space="preserve">Lifter Bar 253mm</t>
  </si>
  <si>
    <t xml:space="preserve">Lifter Bar 223mm</t>
  </si>
  <si>
    <t xml:space="preserve">Lifter Bar 257mm</t>
  </si>
  <si>
    <t xml:space="preserve">Lifter Bar 242mm</t>
  </si>
  <si>
    <t xml:space="preserve">Lifter Bar 170mm</t>
  </si>
  <si>
    <t xml:space="preserve">Holding Frame Casting-ELLIPTICAL</t>
  </si>
  <si>
    <t xml:space="preserve">Holding Frame Casting-STRAIGHT</t>
  </si>
  <si>
    <t xml:space="preserve">Lifter Bar 155mm</t>
  </si>
  <si>
    <t xml:space="preserve">Lifter Bar 229mm</t>
  </si>
  <si>
    <t xml:space="preserve">Lifter Bar 238mm</t>
  </si>
  <si>
    <t xml:space="preserve">Lifter Bar 201mm</t>
  </si>
  <si>
    <t xml:space="preserve">Lifter Bar 290mm</t>
  </si>
  <si>
    <t xml:space="preserve">Lifter Bar 246mm</t>
  </si>
  <si>
    <t xml:space="preserve">Lifter Bar-C1 310mm</t>
  </si>
  <si>
    <t xml:space="preserve">Lifter Bar-C2-275mm</t>
  </si>
  <si>
    <t xml:space="preserve">Lifter Bar-C3-275mm</t>
  </si>
  <si>
    <t xml:space="preserve">Lifter Bar-C4-275mm</t>
  </si>
  <si>
    <t xml:space="preserve">Lifter Bar-001 201mm</t>
  </si>
  <si>
    <t xml:space="preserve">Lifter Bar-C2 275mm</t>
  </si>
  <si>
    <t xml:space="preserve">Lifter Bar-005 201mm</t>
  </si>
  <si>
    <t xml:space="preserve">Lifter Bar-008 265mm</t>
  </si>
  <si>
    <t xml:space="preserve">Lifter Bar-009 257mm</t>
  </si>
  <si>
    <t xml:space="preserve">Lifter Bar 232mm-TEL-R21120802-04</t>
  </si>
  <si>
    <t xml:space="preserve">Lifter Bar 250mm-TEL-R21121501-01</t>
  </si>
  <si>
    <t xml:space="preserve">ESCORT(Main Body) Rev.3</t>
  </si>
  <si>
    <t xml:space="preserve">Main Body Casting Rev. 3</t>
  </si>
  <si>
    <t xml:space="preserve">ESCORT (Knuckle)</t>
  </si>
  <si>
    <t xml:space="preserve">Knuckle (Casting)</t>
  </si>
  <si>
    <t xml:space="preserve">ESCORT (Lock Casting)</t>
  </si>
  <si>
    <t xml:space="preserve">Lock Casting</t>
  </si>
  <si>
    <t xml:space="preserve">ESCORT (Autometic Coupler)</t>
  </si>
  <si>
    <t xml:space="preserve">Autometic Coupler</t>
  </si>
  <si>
    <t xml:space="preserve">ESCORT (Fork Eye)</t>
  </si>
  <si>
    <t xml:space="preserve">Fork Eye</t>
  </si>
  <si>
    <t xml:space="preserve">BEML</t>
  </si>
  <si>
    <t xml:space="preserve">Idler 130TF</t>
  </si>
  <si>
    <t xml:space="preserve">Idler 125TF</t>
  </si>
  <si>
    <t xml:space="preserve">Idler 175TF</t>
  </si>
  <si>
    <t xml:space="preserve">Uchimura India</t>
  </si>
  <si>
    <t xml:space="preserve">Idler-17M3053110</t>
  </si>
  <si>
    <t xml:space="preserve">Idler-1953061510</t>
  </si>
  <si>
    <t xml:space="preserve">Idler-1983045210</t>
  </si>
  <si>
    <t xml:space="preserve">Idler-21N3033310</t>
  </si>
  <si>
    <t xml:space="preserve">Wilson</t>
  </si>
  <si>
    <t xml:space="preserve">Idler Casting-WEI-NT-11</t>
  </si>
  <si>
    <t xml:space="preserve">Idler Casting-WO-14-13367</t>
  </si>
  <si>
    <t xml:space="preserve">Idler Shell WL-14-23128-(Idler TF125)</t>
  </si>
  <si>
    <t xml:space="preserve">Hensley</t>
  </si>
  <si>
    <t xml:space="preserve">J-Bolt LS950J-14</t>
  </si>
  <si>
    <t xml:space="preserve">J-Bolt LS1100J-12</t>
  </si>
  <si>
    <t xml:space="preserve">TATA Metaliks</t>
  </si>
  <si>
    <t xml:space="preserve">Tata Furnace Finger (Small)</t>
  </si>
  <si>
    <t xml:space="preserve">Pig Mould (8 Pkts)/TML-eFee-8P-011 Rev.01</t>
  </si>
  <si>
    <t xml:space="preserve">Hammer For Hammer Mill-CD/TML/SP/M/4-01</t>
  </si>
  <si>
    <t xml:space="preserve">Tata Furnace Finger (Big)</t>
  </si>
  <si>
    <t xml:space="preserve">Coal Crusher Blow Bar-ACEWBC.CHP.09</t>
  </si>
  <si>
    <t xml:space="preserve">Aaditya Consultancy</t>
  </si>
  <si>
    <t xml:space="preserve">HO ACCOUNTS INPUTS - ledger items, adjustments and MT statistics (Rs. Lacs)</t>
  </si>
  <si>
    <t xml:space="preserve">Financial year label (must match IN_Contrib):</t>
  </si>
  <si>
    <t xml:space="preserve">Ref</t>
  </si>
  <si>
    <t xml:space="preserve">Item</t>
  </si>
  <si>
    <t xml:space="preserve">Note</t>
  </si>
  <si>
    <t xml:space="preserve">GST rate on domestic sales</t>
  </si>
  <si>
    <t xml:space="preserve">18% in all months of Sept'26 MIS</t>
  </si>
  <si>
    <t xml:space="preserve">HO ADJUSTMENTS (back-solved from published Sept'26 MIS - HO to document nature)</t>
  </si>
  <si>
    <t xml:space="preserve">Material consumed - adjustment (+ increases cost)</t>
  </si>
  <si>
    <t xml:space="preserve">Published less factory PL row 1</t>
  </si>
  <si>
    <t xml:space="preserve">(Inc)/Dec in stock - adjustment</t>
  </si>
  <si>
    <t xml:space="preserve">Published less (-PL row 6). Aug'26 3.00 to be explained</t>
  </si>
  <si>
    <t xml:space="preserve">Power variable - adjustment</t>
  </si>
  <si>
    <t xml:space="preserve">Rounding / unallocated</t>
  </si>
  <si>
    <t xml:space="preserve">Job-work charges - adjustment (e.g. QC job work not in PL feed)</t>
  </si>
  <si>
    <t xml:space="preserve">~2.00 each month Jun-Sep; Rahaman QC row is blank in factory feed</t>
  </si>
  <si>
    <t xml:space="preserve">Selling expenses carved out of Other factory expenses</t>
  </si>
  <si>
    <t xml:space="preserve">Sep'26 3.22 = transport on sale return. Jun'26 0.29 NOT carved out in published MIS</t>
  </si>
  <si>
    <t xml:space="preserve">Pattern income shown under Storage income (reclass)</t>
  </si>
  <si>
    <t xml:space="preserve">Jul'26 0.06</t>
  </si>
  <si>
    <t xml:space="preserve">HO LEDGER ITEMS (not in factory feed)</t>
  </si>
  <si>
    <t xml:space="preserve">Deferred Revenue Expenses</t>
  </si>
  <si>
    <t xml:space="preserve">Other Non-Operating Expenses</t>
  </si>
  <si>
    <t xml:space="preserve">STATISTICS (MT) AND COLLECTIONS</t>
  </si>
  <si>
    <t xml:space="preserve">Jul'26 identical to May'26 - verify</t>
  </si>
  <si>
    <t xml:space="preserve">CONTRIBUTION SUMMARY (formula-driven from IN_Contrib)</t>
  </si>
  <si>
    <t xml:space="preserve">Financial year:</t>
  </si>
  <si>
    <t xml:space="preserve">Customer-wise contribution (Pouring &amp; rejn.) Rs. Lacs</t>
  </si>
  <si>
    <t xml:space="preserve">Apr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</si>
  <si>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</si>
  <si>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</si>
  <si>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</si>
  <si>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</si>
  <si>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</si>
  <si>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</si>
  <si>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</si>
  <si>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Jan</t>
  </si>
  <si>
    <t xml:space="preserve">Feb</t>
  </si>
  <si>
    <t xml:space="preserve">Mar</t>
  </si>
  <si>
    <t xml:space="preserve">Monthly totals (all customers)</t>
  </si>
  <si>
    <t xml:space="preserve">Pouring MT</t>
  </si>
  <si>
    <t xml:space="preserve">Rejection MT (Nos x wt)</t>
  </si>
  <si>
    <t xml:space="preserve">Destruct test MT</t>
  </si>
  <si>
    <t xml:space="preserve">Contribution Rs L</t>
  </si>
  <si>
    <t xml:space="preserve">Rejection loss Rs L</t>
  </si>
  <si>
    <t xml:space="preserve">Destruct test loss Rs L</t>
  </si>
  <si>
    <t xml:space="preserve">Loss of contribution Rs L</t>
  </si>
  <si>
    <t xml:space="preserve">Weighted avg contribution Rs/kg = Contribution Rs L x 100 / Pouring MT</t>
  </si>
  <si>
    <t xml:space="preserve">Ledger contribution per MIS (Rs L)</t>
  </si>
  <si>
    <t xml:space="preserve">Difference: MIS ledger contribution - product-wise contribution</t>
  </si>
  <si>
    <t xml:space="preserve">TIE-OUT: model MIS vs published Sept'26 MIS (Apr-Sep'26)</t>
  </si>
  <si>
    <t xml:space="preserve">Line</t>
  </si>
  <si>
    <t xml:space="preserve">Basis</t>
  </si>
  <si>
    <t xml:space="preserve">Max |var|</t>
  </si>
  <si>
    <t xml:space="preserve">Published</t>
  </si>
  <si>
    <t xml:space="preserve">Model</t>
  </si>
  <si>
    <t xml:space="preserve">Variance</t>
  </si>
  <si>
    <t xml:space="preserve">Max absolute variance (all lines)</t>
  </si>
  <si>
    <t xml:space="preserve">Status (tolerance 0.02 = rounding)</t>
  </si>
  <si>
    <t xml:space="preserve">COMPARISON WITH PREVIOUS YEARS (as per published MIS; 2026-27 linked live)</t>
  </si>
  <si>
    <t xml:space="preserve">2026-27 (live from MIS)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</si>
  <si>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</si>
  <si>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</si>
  <si>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</si>
  <si>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</si>
  <si>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</si>
  <si>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</si>
  <si>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Avg/Month</t>
  </si>
  <si>
    <t xml:space="preserve">Sales net of Return (ex GST, O/Income)</t>
  </si>
  <si>
    <t xml:space="preserve">Collections (incl GST)</t>
  </si>
  <si>
    <t xml:space="preserve">Net Profit from Operations</t>
  </si>
  <si>
    <t xml:space="preserve">Income from Storage Facility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</si>
</sst>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;\(#,##0.00\);\-"/>
    <numFmt numFmtId="166" formatCode="#,##0.00"/>
    <numFmt numFmtId="167" formatCode="0.000"/>
    <numFmt numFmtId="168" formatCode="0.00"/>
    <numFmt numFmtId="169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1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1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 t="s">
        <v>21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1" t="s">
        <v>22</v>
      </c>
    </row>
    <row r="28" customFormat="false" ht="15" hidden="false" customHeight="false" outlineLevel="0" collapsed="false">
      <c r="A28" s="2" t="s">
        <v>23</v>
      </c>
    </row>
    <row r="29" customFormat="false" ht="15" hidden="false" customHeight="false" outlineLevel="0" collapsed="false">
      <c r="A29" s="2" t="s">
        <v>24</v>
      </c>
    </row>
    <row r="30" customFormat="false" ht="15" hidden="false" customHeight="false" outlineLevel="0" collapsed="false">
      <c r="A30" s="2" t="s">
        <v>25</v>
      </c>
    </row>
    <row r="31" customFormat="false" ht="15" hidden="false" customHeight="false" outlineLevel="0" collapsed="false">
      <c r="A31" s="2" t="s">
        <v>26</v>
      </c>
    </row>
    <row r="32" customFormat="false" ht="15" hidden="false" customHeight="false" outlineLevel="0" collapsed="false">
      <c r="A32" s="2" t="s">
        <v>27</v>
      </c>
    </row>
    <row r="33" customFormat="false" ht="15" hidden="false" customHeight="false" outlineLevel="0" collapsed="false">
      <c r="A33" s="2" t="s">
        <v>28</v>
      </c>
    </row>
    <row r="34" customFormat="false" ht="15" hidden="false" customHeight="false" outlineLevel="0" collapsed="false">
      <c r="A34" s="2"/>
    </row>
    <row r="35" customFormat="false" ht="15" hidden="false" customHeight="false" outlineLevel="0" collapsed="false">
      <c r="A35" s="1" t="s">
        <v>29</v>
      </c>
    </row>
    <row r="36" customFormat="false" ht="15" hidden="false" customHeight="false" outlineLevel="0" collapsed="false">
      <c r="A36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19" min="2" style="0" width="10.51"/>
  </cols>
  <sheetData>
    <row r="1" customFormat="false" ht="16.15" hidden="false" customHeight="false" outlineLevel="0" collapsed="false">
      <c r="A1" s="3" t="s">
        <v>31</v>
      </c>
    </row>
    <row r="2" customFormat="false" ht="15" hidden="false" customHeight="false" outlineLevel="0" collapsed="false">
      <c r="A2" s="4" t="s">
        <v>32</v>
      </c>
    </row>
    <row r="3" customFormat="false" ht="15" hidden="false" customHeight="false" outlineLevel="0" collapsed="false">
      <c r="A3" s="0" t="s">
        <v>33</v>
      </c>
      <c r="R3" s="0" t="s">
        <v>34</v>
      </c>
    </row>
    <row r="5" customFormat="false" ht="15" hidden="false" customHeight="false" outlineLevel="0" collapsed="false">
      <c r="A5" s="5" t="s">
        <v>35</v>
      </c>
      <c r="B5" s="5" t="s">
        <v>36</v>
      </c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43</v>
      </c>
      <c r="J5" s="5" t="s">
        <v>44</v>
      </c>
      <c r="K5" s="5" t="s">
        <v>45</v>
      </c>
      <c r="L5" s="5" t="s">
        <v>46</v>
      </c>
      <c r="M5" s="5" t="s">
        <v>47</v>
      </c>
      <c r="N5" s="5" t="s">
        <v>48</v>
      </c>
      <c r="O5" s="5" t="s">
        <v>49</v>
      </c>
      <c r="P5" s="5" t="s">
        <v>50</v>
      </c>
      <c r="Q5" s="5" t="s">
        <v>51</v>
      </c>
      <c r="R5" s="5" t="s">
        <v>52</v>
      </c>
    </row>
    <row r="6" customFormat="false" ht="15" hidden="false" customHeight="false" outlineLevel="0" collapsed="false">
      <c r="A6" s="4" t="s">
        <v>53</v>
      </c>
    </row>
    <row r="7" customFormat="false" ht="15" hidden="false" customHeight="false" outlineLevel="0" collapsed="false">
      <c r="A7" s="2" t="s">
        <v>54</v>
      </c>
      <c r="B7" s="6" t="n">
        <f aca="false">B9+B8</f>
        <v>150.43</v>
      </c>
      <c r="C7" s="6" t="n">
        <f aca="false">C9+C8</f>
        <v>183.09</v>
      </c>
      <c r="D7" s="6" t="n">
        <f aca="false">D9+D8</f>
        <v>252.08</v>
      </c>
      <c r="E7" s="7" t="n">
        <f aca="false">SUM(B7:D7)</f>
        <v>585.6</v>
      </c>
      <c r="F7" s="6" t="n">
        <f aca="false">F9+F8</f>
        <v>326.82</v>
      </c>
      <c r="G7" s="6" t="n">
        <f aca="false">G9+G8</f>
        <v>271.68</v>
      </c>
      <c r="H7" s="6" t="n">
        <f aca="false">H9+H8</f>
        <v>257.64</v>
      </c>
      <c r="I7" s="7" t="n">
        <f aca="false">SUM(F7:H7)</f>
        <v>856.14</v>
      </c>
      <c r="J7" s="6" t="n">
        <f aca="false">J9+J8</f>
        <v>0</v>
      </c>
      <c r="K7" s="6" t="n">
        <f aca="false">K9+K8</f>
        <v>0</v>
      </c>
      <c r="L7" s="6" t="n">
        <f aca="false">L9+L8</f>
        <v>0</v>
      </c>
      <c r="M7" s="7" t="n">
        <f aca="false">SUM(J7:L7)</f>
        <v>0</v>
      </c>
      <c r="N7" s="6" t="n">
        <f aca="false">N9+N8</f>
        <v>0</v>
      </c>
      <c r="O7" s="6" t="n">
        <f aca="false">O9+O8</f>
        <v>0</v>
      </c>
      <c r="P7" s="6" t="n">
        <f aca="false">P9+P8</f>
        <v>0</v>
      </c>
      <c r="Q7" s="7" t="n">
        <f aca="false">SUM(N7:P7)</f>
        <v>0</v>
      </c>
      <c r="R7" s="7" t="n">
        <f aca="false">E7+I7+M7+Q7</f>
        <v>1441.74</v>
      </c>
    </row>
    <row r="8" customFormat="false" ht="15" hidden="false" customHeight="false" outlineLevel="0" collapsed="false">
      <c r="A8" s="2" t="s">
        <v>55</v>
      </c>
      <c r="B8" s="6" t="n">
        <f aca="false">ROUND(B9*IN_HO!C5,2)</f>
        <v>22.95</v>
      </c>
      <c r="C8" s="6" t="n">
        <f aca="false">ROUND(C9*IN_HO!D5,2)</f>
        <v>27.93</v>
      </c>
      <c r="D8" s="6" t="n">
        <f aca="false">ROUND(D9*IN_HO!E5,2)</f>
        <v>38.45</v>
      </c>
      <c r="E8" s="7" t="n">
        <f aca="false">SUM(B8:D8)</f>
        <v>89.33</v>
      </c>
      <c r="F8" s="6" t="n">
        <f aca="false">ROUND(F9*IN_HO!F5,2)</f>
        <v>49.85</v>
      </c>
      <c r="G8" s="6" t="n">
        <f aca="false">ROUND(G9*IN_HO!G5,2)</f>
        <v>41.44</v>
      </c>
      <c r="H8" s="6" t="n">
        <f aca="false">ROUND(H9*IN_HO!H5,2)</f>
        <v>39.3</v>
      </c>
      <c r="I8" s="7" t="n">
        <f aca="false">SUM(F8:H8)</f>
        <v>130.59</v>
      </c>
      <c r="J8" s="6" t="n">
        <f aca="false">ROUND(J9*IN_HO!I5,2)</f>
        <v>0</v>
      </c>
      <c r="K8" s="6" t="n">
        <f aca="false">ROUND(K9*IN_HO!J5,2)</f>
        <v>0</v>
      </c>
      <c r="L8" s="6" t="n">
        <f aca="false">ROUND(L9*IN_HO!K5,2)</f>
        <v>0</v>
      </c>
      <c r="M8" s="7" t="n">
        <f aca="false">SUM(J8:L8)</f>
        <v>0</v>
      </c>
      <c r="N8" s="6" t="n">
        <f aca="false">ROUND(N9*IN_HO!L5,2)</f>
        <v>0</v>
      </c>
      <c r="O8" s="6" t="n">
        <f aca="false">ROUND(O9*IN_HO!M5,2)</f>
        <v>0</v>
      </c>
      <c r="P8" s="6" t="n">
        <f aca="false">ROUND(P9*IN_HO!N5,2)</f>
        <v>0</v>
      </c>
      <c r="Q8" s="7" t="n">
        <f aca="false">SUM(N8:P8)</f>
        <v>0</v>
      </c>
      <c r="R8" s="7" t="n">
        <f aca="false">E8+I8+M8+Q8</f>
        <v>219.92</v>
      </c>
    </row>
    <row r="9" customFormat="false" ht="15" hidden="false" customHeight="false" outlineLevel="0" collapsed="false">
      <c r="A9" s="2" t="s">
        <v>56</v>
      </c>
      <c r="B9" s="6" t="n">
        <f aca="false">IN_PLF!C38</f>
        <v>127.48</v>
      </c>
      <c r="C9" s="6" t="n">
        <f aca="false">IN_PLF!D38</f>
        <v>155.16</v>
      </c>
      <c r="D9" s="6" t="n">
        <f aca="false">IN_PLF!E38</f>
        <v>213.63</v>
      </c>
      <c r="E9" s="7" t="n">
        <f aca="false">SUM(B9:D9)</f>
        <v>496.27</v>
      </c>
      <c r="F9" s="6" t="n">
        <f aca="false">IN_PLF!F38</f>
        <v>276.97</v>
      </c>
      <c r="G9" s="6" t="n">
        <f aca="false">IN_PLF!G38</f>
        <v>230.24</v>
      </c>
      <c r="H9" s="6" t="n">
        <f aca="false">IN_PLF!H38</f>
        <v>218.34</v>
      </c>
      <c r="I9" s="7" t="n">
        <f aca="false">SUM(F9:H9)</f>
        <v>725.55</v>
      </c>
      <c r="J9" s="6" t="n">
        <f aca="false">IN_PLF!I38</f>
        <v>0</v>
      </c>
      <c r="K9" s="6" t="n">
        <f aca="false">IN_PLF!J38</f>
        <v>0</v>
      </c>
      <c r="L9" s="6" t="n">
        <f aca="false">IN_PLF!K38</f>
        <v>0</v>
      </c>
      <c r="M9" s="7" t="n">
        <f aca="false">SUM(J9:L9)</f>
        <v>0</v>
      </c>
      <c r="N9" s="6" t="n">
        <f aca="false">IN_PLF!L38</f>
        <v>0</v>
      </c>
      <c r="O9" s="6" t="n">
        <f aca="false">IN_PLF!M38</f>
        <v>0</v>
      </c>
      <c r="P9" s="6" t="n">
        <f aca="false">IN_PLF!N38</f>
        <v>0</v>
      </c>
      <c r="Q9" s="7" t="n">
        <f aca="false">SUM(N9:P9)</f>
        <v>0</v>
      </c>
      <c r="R9" s="7" t="n">
        <f aca="false">E9+I9+M9+Q9</f>
        <v>1221.82</v>
      </c>
    </row>
    <row r="10" customFormat="false" ht="15" hidden="false" customHeight="false" outlineLevel="0" collapsed="false">
      <c r="A10" s="2" t="s">
        <v>57</v>
      </c>
      <c r="B10" s="6" t="n">
        <f aca="false">IN_PLF!C49</f>
        <v>0</v>
      </c>
      <c r="C10" s="6" t="n">
        <f aca="false">IN_PLF!D49</f>
        <v>4.86</v>
      </c>
      <c r="D10" s="6" t="n">
        <f aca="false">IN_PLF!E49</f>
        <v>7.15</v>
      </c>
      <c r="E10" s="7" t="n">
        <f aca="false">SUM(B10:D10)</f>
        <v>12.01</v>
      </c>
      <c r="F10" s="6" t="n">
        <f aca="false">IN_PLF!F49</f>
        <v>1.35</v>
      </c>
      <c r="G10" s="6" t="n">
        <f aca="false">IN_PLF!G49</f>
        <v>1</v>
      </c>
      <c r="H10" s="6" t="n">
        <f aca="false">IN_PLF!H49</f>
        <v>0.56</v>
      </c>
      <c r="I10" s="7" t="n">
        <f aca="false">SUM(F10:H10)</f>
        <v>2.91</v>
      </c>
      <c r="J10" s="6" t="n">
        <f aca="false">IN_PLF!I49</f>
        <v>0</v>
      </c>
      <c r="K10" s="6" t="n">
        <f aca="false">IN_PLF!J49</f>
        <v>0</v>
      </c>
      <c r="L10" s="6" t="n">
        <f aca="false">IN_PLF!K49</f>
        <v>0</v>
      </c>
      <c r="M10" s="7" t="n">
        <f aca="false">SUM(J10:L10)</f>
        <v>0</v>
      </c>
      <c r="N10" s="6" t="n">
        <f aca="false">IN_PLF!L49</f>
        <v>0</v>
      </c>
      <c r="O10" s="6" t="n">
        <f aca="false">IN_PLF!M49</f>
        <v>0</v>
      </c>
      <c r="P10" s="6" t="n">
        <f aca="false">IN_PLF!N49</f>
        <v>0</v>
      </c>
      <c r="Q10" s="7" t="n">
        <f aca="false">SUM(N10:P10)</f>
        <v>0</v>
      </c>
      <c r="R10" s="7" t="n">
        <f aca="false">E10+I10+M10+Q10</f>
        <v>14.92</v>
      </c>
    </row>
    <row r="11" customFormat="false" ht="15" hidden="false" customHeight="false" outlineLevel="0" collapsed="false">
      <c r="A11" s="4" t="s">
        <v>58</v>
      </c>
      <c r="B11" s="8" t="n">
        <f aca="false">B9-B10</f>
        <v>127.48</v>
      </c>
      <c r="C11" s="8" t="n">
        <f aca="false">C9-C10</f>
        <v>150.3</v>
      </c>
      <c r="D11" s="8" t="n">
        <f aca="false">D9-D10</f>
        <v>206.48</v>
      </c>
      <c r="E11" s="7" t="n">
        <f aca="false">SUM(B11:D11)</f>
        <v>484.26</v>
      </c>
      <c r="F11" s="8" t="n">
        <f aca="false">F9-F10</f>
        <v>275.62</v>
      </c>
      <c r="G11" s="8" t="n">
        <f aca="false">G9-G10</f>
        <v>229.24</v>
      </c>
      <c r="H11" s="8" t="n">
        <f aca="false">H9-H10</f>
        <v>217.78</v>
      </c>
      <c r="I11" s="7" t="n">
        <f aca="false">SUM(F11:H11)</f>
        <v>722.64</v>
      </c>
      <c r="J11" s="8" t="n">
        <f aca="false">J9-J10</f>
        <v>0</v>
      </c>
      <c r="K11" s="8" t="n">
        <f aca="false">K9-K10</f>
        <v>0</v>
      </c>
      <c r="L11" s="8" t="n">
        <f aca="false">L9-L10</f>
        <v>0</v>
      </c>
      <c r="M11" s="7" t="n">
        <f aca="false">SUM(J11:L11)</f>
        <v>0</v>
      </c>
      <c r="N11" s="8" t="n">
        <f aca="false">N9-N10</f>
        <v>0</v>
      </c>
      <c r="O11" s="8" t="n">
        <f aca="false">O9-O10</f>
        <v>0</v>
      </c>
      <c r="P11" s="8" t="n">
        <f aca="false">P9-P10</f>
        <v>0</v>
      </c>
      <c r="Q11" s="7" t="n">
        <f aca="false">SUM(N11:P11)</f>
        <v>0</v>
      </c>
      <c r="R11" s="7" t="n">
        <f aca="false">E11+I11+M11+Q11</f>
        <v>1206.9</v>
      </c>
    </row>
    <row r="12" customFormat="false" ht="15" hidden="false" customHeight="false" outlineLevel="0" collapsed="false">
      <c r="A12" s="2" t="s">
        <v>59</v>
      </c>
      <c r="B12" s="6" t="n">
        <f aca="false">IN_PLF!C43-IN_HO!C13</f>
        <v>0</v>
      </c>
      <c r="C12" s="6" t="n">
        <f aca="false">IN_PLF!D43-IN_HO!D13</f>
        <v>1.5</v>
      </c>
      <c r="D12" s="6" t="n">
        <f aca="false">IN_PLF!E43-IN_HO!E13</f>
        <v>0</v>
      </c>
      <c r="E12" s="7" t="n">
        <f aca="false">SUM(B12:D12)</f>
        <v>1.5</v>
      </c>
      <c r="F12" s="6" t="n">
        <f aca="false">IN_PLF!F43-IN_HO!F13</f>
        <v>0</v>
      </c>
      <c r="G12" s="6" t="n">
        <f aca="false">IN_PLF!G43-IN_HO!G13</f>
        <v>2.5</v>
      </c>
      <c r="H12" s="6" t="n">
        <f aca="false">IN_PLF!H43-IN_HO!H13</f>
        <v>4.8</v>
      </c>
      <c r="I12" s="7" t="n">
        <f aca="false">SUM(F12:H12)</f>
        <v>7.3</v>
      </c>
      <c r="J12" s="6" t="n">
        <f aca="false">IN_PLF!I43-IN_HO!I13</f>
        <v>0</v>
      </c>
      <c r="K12" s="6" t="n">
        <f aca="false">IN_PLF!J43-IN_HO!J13</f>
        <v>0</v>
      </c>
      <c r="L12" s="6" t="n">
        <f aca="false">IN_PLF!K43-IN_HO!K13</f>
        <v>0</v>
      </c>
      <c r="M12" s="7" t="n">
        <f aca="false">SUM(J12:L12)</f>
        <v>0</v>
      </c>
      <c r="N12" s="6" t="n">
        <f aca="false">IN_PLF!L43-IN_HO!L13</f>
        <v>0</v>
      </c>
      <c r="O12" s="6" t="n">
        <f aca="false">IN_PLF!M43-IN_HO!M13</f>
        <v>0</v>
      </c>
      <c r="P12" s="6" t="n">
        <f aca="false">IN_PLF!N43-IN_HO!N13</f>
        <v>0</v>
      </c>
      <c r="Q12" s="7" t="n">
        <f aca="false">SUM(N12:P12)</f>
        <v>0</v>
      </c>
      <c r="R12" s="7" t="n">
        <f aca="false">E12+I12+M12+Q12</f>
        <v>8.8</v>
      </c>
    </row>
    <row r="13" customFormat="false" ht="15" hidden="false" customHeight="false" outlineLevel="0" collapsed="false">
      <c r="A13" s="2" t="s">
        <v>60</v>
      </c>
      <c r="B13" s="6" t="n">
        <f aca="false">IN_PLF!C35</f>
        <v>-15.08</v>
      </c>
      <c r="C13" s="6" t="n">
        <f aca="false">IN_PLF!D35</f>
        <v>-3.56</v>
      </c>
      <c r="D13" s="6" t="n">
        <f aca="false">IN_PLF!E35</f>
        <v>-4.02</v>
      </c>
      <c r="E13" s="7" t="n">
        <f aca="false">SUM(B13:D13)</f>
        <v>-22.66</v>
      </c>
      <c r="F13" s="6" t="n">
        <f aca="false">IN_PLF!F35</f>
        <v>-3.79</v>
      </c>
      <c r="G13" s="6" t="n">
        <f aca="false">IN_PLF!G35</f>
        <v>1</v>
      </c>
      <c r="H13" s="6" t="n">
        <f aca="false">IN_PLF!H35</f>
        <v>0.56</v>
      </c>
      <c r="I13" s="7" t="n">
        <f aca="false">SUM(F13:H13)</f>
        <v>-2.23</v>
      </c>
      <c r="J13" s="6" t="n">
        <f aca="false">IN_PLF!I35</f>
        <v>0</v>
      </c>
      <c r="K13" s="6" t="n">
        <f aca="false">IN_PLF!J35</f>
        <v>0</v>
      </c>
      <c r="L13" s="6" t="n">
        <f aca="false">IN_PLF!K35</f>
        <v>0</v>
      </c>
      <c r="M13" s="7" t="n">
        <f aca="false">SUM(J13:L13)</f>
        <v>0</v>
      </c>
      <c r="N13" s="6" t="n">
        <f aca="false">IN_PLF!L35</f>
        <v>0</v>
      </c>
      <c r="O13" s="6" t="n">
        <f aca="false">IN_PLF!M35</f>
        <v>0</v>
      </c>
      <c r="P13" s="6" t="n">
        <f aca="false">IN_PLF!N35</f>
        <v>0</v>
      </c>
      <c r="Q13" s="7" t="n">
        <f aca="false">SUM(N13:P13)</f>
        <v>0</v>
      </c>
      <c r="R13" s="7" t="n">
        <f aca="false">E13+I13+M13+Q13</f>
        <v>-24.89</v>
      </c>
    </row>
    <row r="14" customFormat="false" ht="15" hidden="false" customHeight="false" outlineLevel="0" collapsed="false">
      <c r="A14" s="4" t="s">
        <v>61</v>
      </c>
      <c r="B14" s="8" t="n">
        <f aca="false">B11+B12+B13</f>
        <v>112.4</v>
      </c>
      <c r="C14" s="8" t="n">
        <f aca="false">C11+C12+C13</f>
        <v>148.24</v>
      </c>
      <c r="D14" s="8" t="n">
        <f aca="false">D11+D12+D13</f>
        <v>202.46</v>
      </c>
      <c r="E14" s="7" t="n">
        <f aca="false">SUM(B14:D14)</f>
        <v>463.1</v>
      </c>
      <c r="F14" s="8" t="n">
        <f aca="false">F11+F12+F13</f>
        <v>271.83</v>
      </c>
      <c r="G14" s="8" t="n">
        <f aca="false">G11+G12+G13</f>
        <v>232.74</v>
      </c>
      <c r="H14" s="8" t="n">
        <f aca="false">H11+H12+H13</f>
        <v>223.14</v>
      </c>
      <c r="I14" s="7" t="n">
        <f aca="false">SUM(F14:H14)</f>
        <v>727.71</v>
      </c>
      <c r="J14" s="8" t="n">
        <f aca="false">J11+J12+J13</f>
        <v>0</v>
      </c>
      <c r="K14" s="8" t="n">
        <f aca="false">K11+K12+K13</f>
        <v>0</v>
      </c>
      <c r="L14" s="8" t="n">
        <f aca="false">L11+L12+L13</f>
        <v>0</v>
      </c>
      <c r="M14" s="7" t="n">
        <f aca="false">SUM(J14:L14)</f>
        <v>0</v>
      </c>
      <c r="N14" s="8" t="n">
        <f aca="false">N11+N12+N13</f>
        <v>0</v>
      </c>
      <c r="O14" s="8" t="n">
        <f aca="false">O11+O12+O13</f>
        <v>0</v>
      </c>
      <c r="P14" s="8" t="n">
        <f aca="false">P11+P12+P13</f>
        <v>0</v>
      </c>
      <c r="Q14" s="7" t="n">
        <f aca="false">SUM(N14:P14)</f>
        <v>0</v>
      </c>
      <c r="R14" s="7" t="n">
        <f aca="false">E14+I14+M14+Q14</f>
        <v>1190.81</v>
      </c>
    </row>
    <row r="15" customFormat="false" ht="15" hidden="false" customHeight="false" outlineLevel="0" collapsed="false">
      <c r="A15" s="4" t="s">
        <v>62</v>
      </c>
    </row>
    <row r="16" customFormat="false" ht="15" hidden="false" customHeight="false" outlineLevel="0" collapsed="false">
      <c r="A16" s="2" t="s">
        <v>63</v>
      </c>
      <c r="B16" s="6" t="n">
        <f aca="false">IN_PLF!C5+IN_HO!C8</f>
        <v>47.91</v>
      </c>
      <c r="C16" s="6" t="n">
        <f aca="false">IN_PLF!D5+IN_HO!D8</f>
        <v>159.27</v>
      </c>
      <c r="D16" s="6" t="n">
        <f aca="false">IN_PLF!E5+IN_HO!E8</f>
        <v>153.67</v>
      </c>
      <c r="E16" s="7" t="n">
        <f aca="false">SUM(B16:D16)</f>
        <v>360.85</v>
      </c>
      <c r="F16" s="6" t="n">
        <f aca="false">IN_PLF!F5+IN_HO!F8</f>
        <v>160.21</v>
      </c>
      <c r="G16" s="6" t="n">
        <f aca="false">IN_PLF!G5+IN_HO!G8</f>
        <v>109.64</v>
      </c>
      <c r="H16" s="6" t="n">
        <f aca="false">IN_PLF!H5+IN_HO!H8</f>
        <v>174.02</v>
      </c>
      <c r="I16" s="7" t="n">
        <f aca="false">SUM(F16:H16)</f>
        <v>443.87</v>
      </c>
      <c r="J16" s="6" t="n">
        <f aca="false">IN_PLF!I5+IN_HO!I8</f>
        <v>0</v>
      </c>
      <c r="K16" s="6" t="n">
        <f aca="false">IN_PLF!J5+IN_HO!J8</f>
        <v>0</v>
      </c>
      <c r="L16" s="6" t="n">
        <f aca="false">IN_PLF!K5+IN_HO!K8</f>
        <v>0</v>
      </c>
      <c r="M16" s="7" t="n">
        <f aca="false">SUM(J16:L16)</f>
        <v>0</v>
      </c>
      <c r="N16" s="6" t="n">
        <f aca="false">IN_PLF!L5+IN_HO!L8</f>
        <v>0</v>
      </c>
      <c r="O16" s="6" t="n">
        <f aca="false">IN_PLF!M5+IN_HO!M8</f>
        <v>0</v>
      </c>
      <c r="P16" s="6" t="n">
        <f aca="false">IN_PLF!N5+IN_HO!N8</f>
        <v>0</v>
      </c>
      <c r="Q16" s="7" t="n">
        <f aca="false">SUM(N16:P16)</f>
        <v>0</v>
      </c>
      <c r="R16" s="7" t="n">
        <f aca="false">E16+I16+M16+Q16</f>
        <v>804.72</v>
      </c>
    </row>
    <row r="17" customFormat="false" ht="15" hidden="false" customHeight="false" outlineLevel="0" collapsed="false">
      <c r="A17" s="2" t="s">
        <v>64</v>
      </c>
      <c r="B17" s="6" t="n">
        <f aca="false">-IN_PLF!C32+IN_HO!C9</f>
        <v>31.72</v>
      </c>
      <c r="C17" s="6" t="n">
        <f aca="false">-IN_PLF!D32+IN_HO!D9</f>
        <v>-71.63</v>
      </c>
      <c r="D17" s="6" t="n">
        <f aca="false">-IN_PLF!E32+IN_HO!E9</f>
        <v>-32.47</v>
      </c>
      <c r="E17" s="7" t="n">
        <f aca="false">SUM(B17:D17)</f>
        <v>-72.38</v>
      </c>
      <c r="F17" s="6" t="n">
        <f aca="false">-IN_PLF!F32+IN_HO!F9</f>
        <v>22.62</v>
      </c>
      <c r="G17" s="6" t="n">
        <f aca="false">-IN_PLF!G32+IN_HO!G9</f>
        <v>43.89</v>
      </c>
      <c r="H17" s="6" t="n">
        <f aca="false">-IN_PLF!H32+IN_HO!H9</f>
        <v>-48.76</v>
      </c>
      <c r="I17" s="7" t="n">
        <f aca="false">SUM(F17:H17)</f>
        <v>17.75</v>
      </c>
      <c r="J17" s="6" t="n">
        <f aca="false">-IN_PLF!I32+IN_HO!I9</f>
        <v>0</v>
      </c>
      <c r="K17" s="6" t="n">
        <f aca="false">-IN_PLF!J32+IN_HO!J9</f>
        <v>0</v>
      </c>
      <c r="L17" s="6" t="n">
        <f aca="false">-IN_PLF!K32+IN_HO!K9</f>
        <v>0</v>
      </c>
      <c r="M17" s="7" t="n">
        <f aca="false">SUM(J17:L17)</f>
        <v>0</v>
      </c>
      <c r="N17" s="6" t="n">
        <f aca="false">-IN_PLF!L32+IN_HO!L9</f>
        <v>0</v>
      </c>
      <c r="O17" s="6" t="n">
        <f aca="false">-IN_PLF!M32+IN_HO!M9</f>
        <v>0</v>
      </c>
      <c r="P17" s="6" t="n">
        <f aca="false">-IN_PLF!N32+IN_HO!N9</f>
        <v>0</v>
      </c>
      <c r="Q17" s="7" t="n">
        <f aca="false">SUM(N17:P17)</f>
        <v>0</v>
      </c>
      <c r="R17" s="7" t="n">
        <f aca="false">E17+I17+M17+Q17</f>
        <v>-54.63</v>
      </c>
    </row>
    <row r="18" customFormat="false" ht="15" hidden="false" customHeight="false" outlineLevel="0" collapsed="false">
      <c r="A18" s="4" t="s">
        <v>65</v>
      </c>
    </row>
    <row r="19" customFormat="false" ht="15" hidden="false" customHeight="false" outlineLevel="0" collapsed="false">
      <c r="A19" s="2" t="s">
        <v>66</v>
      </c>
      <c r="B19" s="6" t="n">
        <f aca="false">IN_PLF!C19+IN_PLF!C20+IN_HO!C10</f>
        <v>10.61</v>
      </c>
      <c r="C19" s="6" t="n">
        <f aca="false">IN_PLF!D19+IN_PLF!D20+IN_HO!D10</f>
        <v>15.14</v>
      </c>
      <c r="D19" s="6" t="n">
        <f aca="false">IN_PLF!E19+IN_PLF!E20+IN_HO!E10</f>
        <v>17.79</v>
      </c>
      <c r="E19" s="7" t="n">
        <f aca="false">SUM(B19:D19)</f>
        <v>43.54</v>
      </c>
      <c r="F19" s="6" t="n">
        <f aca="false">IN_PLF!F19+IN_PLF!F20+IN_HO!F10</f>
        <v>18.01</v>
      </c>
      <c r="G19" s="6" t="n">
        <f aca="false">IN_PLF!G19+IN_PLF!G20+IN_HO!G10</f>
        <v>17.14</v>
      </c>
      <c r="H19" s="6" t="n">
        <f aca="false">IN_PLF!H19+IN_PLF!H20+IN_HO!H10</f>
        <v>18.37</v>
      </c>
      <c r="I19" s="7" t="n">
        <f aca="false">SUM(F19:H19)</f>
        <v>53.52</v>
      </c>
      <c r="J19" s="6" t="n">
        <f aca="false">IN_PLF!I19+IN_PLF!I20+IN_HO!I10</f>
        <v>0</v>
      </c>
      <c r="K19" s="6" t="n">
        <f aca="false">IN_PLF!J19+IN_PLF!J20+IN_HO!J10</f>
        <v>0</v>
      </c>
      <c r="L19" s="6" t="n">
        <f aca="false">IN_PLF!K19+IN_PLF!K20+IN_HO!K10</f>
        <v>0</v>
      </c>
      <c r="M19" s="7" t="n">
        <f aca="false">SUM(J19:L19)</f>
        <v>0</v>
      </c>
      <c r="N19" s="6" t="n">
        <f aca="false">IN_PLF!L19+IN_PLF!L20+IN_HO!L10</f>
        <v>0</v>
      </c>
      <c r="O19" s="6" t="n">
        <f aca="false">IN_PLF!M19+IN_PLF!M20+IN_HO!M10</f>
        <v>0</v>
      </c>
      <c r="P19" s="6" t="n">
        <f aca="false">IN_PLF!N19+IN_PLF!N20+IN_HO!N10</f>
        <v>0</v>
      </c>
      <c r="Q19" s="7" t="n">
        <f aca="false">SUM(N19:P19)</f>
        <v>0</v>
      </c>
      <c r="R19" s="7" t="n">
        <f aca="false">E19+I19+M19+Q19</f>
        <v>97.06</v>
      </c>
    </row>
    <row r="20" customFormat="false" ht="15" hidden="false" customHeight="false" outlineLevel="0" collapsed="false">
      <c r="A20" s="2" t="s">
        <v>67</v>
      </c>
      <c r="B20" s="6" t="n">
        <f aca="false">IN_PLF!C9+IN_HO!C11</f>
        <v>9.1</v>
      </c>
      <c r="C20" s="6" t="n">
        <f aca="false">IN_PLF!D9+IN_HO!D11</f>
        <v>9.61</v>
      </c>
      <c r="D20" s="6" t="n">
        <f aca="false">IN_PLF!E9+IN_HO!E11</f>
        <v>12.19</v>
      </c>
      <c r="E20" s="7" t="n">
        <f aca="false">SUM(B20:D20)</f>
        <v>30.9</v>
      </c>
      <c r="F20" s="6" t="n">
        <f aca="false">IN_PLF!F9+IN_HO!F11</f>
        <v>12.73</v>
      </c>
      <c r="G20" s="6" t="n">
        <f aca="false">IN_PLF!G9+IN_HO!G11</f>
        <v>11.56</v>
      </c>
      <c r="H20" s="6" t="n">
        <f aca="false">IN_PLF!H9+IN_HO!H11</f>
        <v>12.67</v>
      </c>
      <c r="I20" s="7" t="n">
        <f aca="false">SUM(F20:H20)</f>
        <v>36.96</v>
      </c>
      <c r="J20" s="6" t="n">
        <f aca="false">IN_PLF!I9+IN_HO!I11</f>
        <v>0</v>
      </c>
      <c r="K20" s="6" t="n">
        <f aca="false">IN_PLF!J9+IN_HO!J11</f>
        <v>0</v>
      </c>
      <c r="L20" s="6" t="n">
        <f aca="false">IN_PLF!K9+IN_HO!K11</f>
        <v>0</v>
      </c>
      <c r="M20" s="7" t="n">
        <f aca="false">SUM(J20:L20)</f>
        <v>0</v>
      </c>
      <c r="N20" s="6" t="n">
        <f aca="false">IN_PLF!L9+IN_HO!L11</f>
        <v>0</v>
      </c>
      <c r="O20" s="6" t="n">
        <f aca="false">IN_PLF!M9+IN_HO!M11</f>
        <v>0</v>
      </c>
      <c r="P20" s="6" t="n">
        <f aca="false">IN_PLF!N9+IN_HO!N11</f>
        <v>0</v>
      </c>
      <c r="Q20" s="7" t="n">
        <f aca="false">SUM(N20:P20)</f>
        <v>0</v>
      </c>
      <c r="R20" s="7" t="n">
        <f aca="false">E20+I20+M20+Q20</f>
        <v>67.86</v>
      </c>
    </row>
    <row r="21" customFormat="false" ht="15" hidden="false" customHeight="false" outlineLevel="0" collapsed="false">
      <c r="A21" s="4" t="s">
        <v>68</v>
      </c>
      <c r="B21" s="8" t="n">
        <f aca="false">B16+B17+B19+B20</f>
        <v>99.34</v>
      </c>
      <c r="C21" s="8" t="n">
        <f aca="false">C16+C17+C19+C20</f>
        <v>112.39</v>
      </c>
      <c r="D21" s="8" t="n">
        <f aca="false">D16+D17+D19+D20</f>
        <v>151.18</v>
      </c>
      <c r="E21" s="7" t="n">
        <f aca="false">SUM(B21:D21)</f>
        <v>362.91</v>
      </c>
      <c r="F21" s="8" t="n">
        <f aca="false">F16+F17+F19+F20</f>
        <v>213.57</v>
      </c>
      <c r="G21" s="8" t="n">
        <f aca="false">G16+G17+G19+G20</f>
        <v>182.23</v>
      </c>
      <c r="H21" s="8" t="n">
        <f aca="false">H16+H17+H19+H20</f>
        <v>156.3</v>
      </c>
      <c r="I21" s="7" t="n">
        <f aca="false">SUM(F21:H21)</f>
        <v>552.1</v>
      </c>
      <c r="J21" s="8" t="n">
        <f aca="false">J16+J17+J19+J20</f>
        <v>0</v>
      </c>
      <c r="K21" s="8" t="n">
        <f aca="false">K16+K17+K19+K20</f>
        <v>0</v>
      </c>
      <c r="L21" s="8" t="n">
        <f aca="false">L16+L17+L19+L20</f>
        <v>0</v>
      </c>
      <c r="M21" s="7" t="n">
        <f aca="false">SUM(J21:L21)</f>
        <v>0</v>
      </c>
      <c r="N21" s="8" t="n">
        <f aca="false">N16+N17+N19+N20</f>
        <v>0</v>
      </c>
      <c r="O21" s="8" t="n">
        <f aca="false">O16+O17+O19+O20</f>
        <v>0</v>
      </c>
      <c r="P21" s="8" t="n">
        <f aca="false">P16+P17+P19+P20</f>
        <v>0</v>
      </c>
      <c r="Q21" s="7" t="n">
        <f aca="false">SUM(N21:P21)</f>
        <v>0</v>
      </c>
      <c r="R21" s="7" t="n">
        <f aca="false">E21+I21+M21+Q21</f>
        <v>915.01</v>
      </c>
    </row>
    <row r="22" customFormat="false" ht="15" hidden="false" customHeight="false" outlineLevel="0" collapsed="false">
      <c r="A22" s="4" t="s">
        <v>69</v>
      </c>
      <c r="B22" s="8" t="n">
        <f aca="false">B14-B21</f>
        <v>13.06</v>
      </c>
      <c r="C22" s="8" t="n">
        <f aca="false">C14-C21</f>
        <v>35.85</v>
      </c>
      <c r="D22" s="8" t="n">
        <f aca="false">D14-D21</f>
        <v>51.28</v>
      </c>
      <c r="E22" s="7" t="n">
        <f aca="false">SUM(B22:D22)</f>
        <v>100.19</v>
      </c>
      <c r="F22" s="8" t="n">
        <f aca="false">F14-F21</f>
        <v>58.26</v>
      </c>
      <c r="G22" s="8" t="n">
        <f aca="false">G14-G21</f>
        <v>50.51</v>
      </c>
      <c r="H22" s="8" t="n">
        <f aca="false">H14-H21</f>
        <v>66.84</v>
      </c>
      <c r="I22" s="7" t="n">
        <f aca="false">SUM(F22:H22)</f>
        <v>175.61</v>
      </c>
      <c r="J22" s="8" t="n">
        <f aca="false">J14-J21</f>
        <v>0</v>
      </c>
      <c r="K22" s="8" t="n">
        <f aca="false">K14-K21</f>
        <v>0</v>
      </c>
      <c r="L22" s="8" t="n">
        <f aca="false">L14-L21</f>
        <v>0</v>
      </c>
      <c r="M22" s="7" t="n">
        <f aca="false">SUM(J22:L22)</f>
        <v>0</v>
      </c>
      <c r="N22" s="8" t="n">
        <f aca="false">N14-N21</f>
        <v>0</v>
      </c>
      <c r="O22" s="8" t="n">
        <f aca="false">O14-O21</f>
        <v>0</v>
      </c>
      <c r="P22" s="8" t="n">
        <f aca="false">P14-P21</f>
        <v>0</v>
      </c>
      <c r="Q22" s="7" t="n">
        <f aca="false">SUM(N22:P22)</f>
        <v>0</v>
      </c>
      <c r="R22" s="7" t="n">
        <f aca="false">E22+I22+M22+Q22</f>
        <v>275.8</v>
      </c>
    </row>
    <row r="24" customFormat="false" ht="15" hidden="false" customHeight="false" outlineLevel="0" collapsed="false">
      <c r="A24" s="4" t="s">
        <v>70</v>
      </c>
    </row>
    <row r="25" customFormat="false" ht="15" hidden="false" customHeight="false" outlineLevel="0" collapsed="false">
      <c r="A25" s="2" t="s">
        <v>71</v>
      </c>
      <c r="B25" s="6" t="n">
        <f aca="false">IN_HO!C16</f>
        <v>3.21</v>
      </c>
      <c r="C25" s="6" t="n">
        <f aca="false">IN_HO!D16</f>
        <v>4.13</v>
      </c>
      <c r="D25" s="6" t="n">
        <f aca="false">IN_HO!E16</f>
        <v>4.5</v>
      </c>
      <c r="E25" s="7" t="n">
        <f aca="false">SUM(B25:D25)</f>
        <v>11.84</v>
      </c>
      <c r="F25" s="6" t="n">
        <f aca="false">IN_HO!F16</f>
        <v>7.52</v>
      </c>
      <c r="G25" s="6" t="n">
        <f aca="false">IN_HO!G16</f>
        <v>6.07</v>
      </c>
      <c r="H25" s="6" t="n">
        <f aca="false">IN_HO!H16</f>
        <v>7.13</v>
      </c>
      <c r="I25" s="7" t="n">
        <f aca="false">SUM(F25:H25)</f>
        <v>20.72</v>
      </c>
      <c r="J25" s="6" t="n">
        <f aca="false">IN_HO!I16</f>
        <v>0</v>
      </c>
      <c r="K25" s="6" t="n">
        <f aca="false">IN_HO!J16</f>
        <v>0</v>
      </c>
      <c r="L25" s="6" t="n">
        <f aca="false">IN_HO!K16</f>
        <v>0</v>
      </c>
      <c r="M25" s="7" t="n">
        <f aca="false">SUM(J25:L25)</f>
        <v>0</v>
      </c>
      <c r="N25" s="6" t="n">
        <f aca="false">IN_HO!L16</f>
        <v>0</v>
      </c>
      <c r="O25" s="6" t="n">
        <f aca="false">IN_HO!M16</f>
        <v>0</v>
      </c>
      <c r="P25" s="6" t="n">
        <f aca="false">IN_HO!N16</f>
        <v>0</v>
      </c>
      <c r="Q25" s="7" t="n">
        <f aca="false">SUM(N25:P25)</f>
        <v>0</v>
      </c>
      <c r="R25" s="7" t="n">
        <f aca="false">E25+I25+M25+Q25</f>
        <v>32.56</v>
      </c>
    </row>
    <row r="26" customFormat="false" ht="15" hidden="false" customHeight="false" outlineLevel="0" collapsed="false">
      <c r="A26" s="2" t="s">
        <v>72</v>
      </c>
      <c r="B26" s="6" t="n">
        <f aca="false">IN_PLF!C21</f>
        <v>1.38</v>
      </c>
      <c r="C26" s="6" t="n">
        <f aca="false">IN_PLF!D21</f>
        <v>2.28</v>
      </c>
      <c r="D26" s="6" t="n">
        <f aca="false">IN_PLF!E21</f>
        <v>2.31</v>
      </c>
      <c r="E26" s="7" t="n">
        <f aca="false">SUM(B26:D26)</f>
        <v>5.97</v>
      </c>
      <c r="F26" s="6" t="n">
        <f aca="false">IN_PLF!F21</f>
        <v>3.41</v>
      </c>
      <c r="G26" s="6" t="n">
        <f aca="false">IN_PLF!G21</f>
        <v>2.28</v>
      </c>
      <c r="H26" s="6" t="n">
        <f aca="false">IN_PLF!H21</f>
        <v>1.97</v>
      </c>
      <c r="I26" s="7" t="n">
        <f aca="false">SUM(F26:H26)</f>
        <v>7.66</v>
      </c>
      <c r="J26" s="6" t="n">
        <f aca="false">IN_PLF!I21</f>
        <v>0</v>
      </c>
      <c r="K26" s="6" t="n">
        <f aca="false">IN_PLF!J21</f>
        <v>0</v>
      </c>
      <c r="L26" s="6" t="n">
        <f aca="false">IN_PLF!K21</f>
        <v>0</v>
      </c>
      <c r="M26" s="7" t="n">
        <f aca="false">SUM(J26:L26)</f>
        <v>0</v>
      </c>
      <c r="N26" s="6" t="n">
        <f aca="false">IN_PLF!L21</f>
        <v>0</v>
      </c>
      <c r="O26" s="6" t="n">
        <f aca="false">IN_PLF!M21</f>
        <v>0</v>
      </c>
      <c r="P26" s="6" t="n">
        <f aca="false">IN_PLF!N21</f>
        <v>0</v>
      </c>
      <c r="Q26" s="7" t="n">
        <f aca="false">SUM(N26:P26)</f>
        <v>0</v>
      </c>
      <c r="R26" s="7" t="n">
        <f aca="false">E26+I26+M26+Q26</f>
        <v>13.63</v>
      </c>
    </row>
    <row r="27" customFormat="false" ht="15" hidden="false" customHeight="false" outlineLevel="0" collapsed="false">
      <c r="A27" s="2" t="s">
        <v>73</v>
      </c>
      <c r="B27" s="6" t="n">
        <f aca="false">IN_PLF!C22-IN_HO!C12</f>
        <v>4.62</v>
      </c>
      <c r="C27" s="6" t="n">
        <f aca="false">IN_PLF!D22-IN_HO!D12</f>
        <v>5.7</v>
      </c>
      <c r="D27" s="6" t="n">
        <f aca="false">IN_PLF!E22-IN_HO!E12</f>
        <v>5.93</v>
      </c>
      <c r="E27" s="7" t="n">
        <f aca="false">SUM(B27:D27)</f>
        <v>16.25</v>
      </c>
      <c r="F27" s="6" t="n">
        <f aca="false">IN_PLF!F22-IN_HO!F12</f>
        <v>5.44</v>
      </c>
      <c r="G27" s="6" t="n">
        <f aca="false">IN_PLF!G22-IN_HO!G12</f>
        <v>4.71</v>
      </c>
      <c r="H27" s="6" t="n">
        <f aca="false">IN_PLF!H22-IN_HO!H12</f>
        <v>6.92</v>
      </c>
      <c r="I27" s="7" t="n">
        <f aca="false">SUM(F27:H27)</f>
        <v>17.07</v>
      </c>
      <c r="J27" s="6" t="n">
        <f aca="false">IN_PLF!I22-IN_HO!I12</f>
        <v>0</v>
      </c>
      <c r="K27" s="6" t="n">
        <f aca="false">IN_PLF!J22-IN_HO!J12</f>
        <v>0</v>
      </c>
      <c r="L27" s="6" t="n">
        <f aca="false">IN_PLF!K22-IN_HO!K12</f>
        <v>0</v>
      </c>
      <c r="M27" s="7" t="n">
        <f aca="false">SUM(J27:L27)</f>
        <v>0</v>
      </c>
      <c r="N27" s="6" t="n">
        <f aca="false">IN_PLF!L22-IN_HO!L12</f>
        <v>0</v>
      </c>
      <c r="O27" s="6" t="n">
        <f aca="false">IN_PLF!M22-IN_HO!M12</f>
        <v>0</v>
      </c>
      <c r="P27" s="6" t="n">
        <f aca="false">IN_PLF!N22-IN_HO!N12</f>
        <v>0</v>
      </c>
      <c r="Q27" s="7" t="n">
        <f aca="false">SUM(N27:P27)</f>
        <v>0</v>
      </c>
      <c r="R27" s="7" t="n">
        <f aca="false">E27+I27+M27+Q27</f>
        <v>33.32</v>
      </c>
    </row>
    <row r="28" customFormat="false" ht="15" hidden="false" customHeight="false" outlineLevel="0" collapsed="false">
      <c r="A28" s="2" t="s">
        <v>74</v>
      </c>
      <c r="B28" s="6" t="n">
        <f aca="false">IN_HO!C17</f>
        <v>15.91</v>
      </c>
      <c r="C28" s="6" t="n">
        <f aca="false">IN_HO!D17</f>
        <v>12.37</v>
      </c>
      <c r="D28" s="6" t="n">
        <f aca="false">IN_HO!E17</f>
        <v>14.85</v>
      </c>
      <c r="E28" s="7" t="n">
        <f aca="false">SUM(B28:D28)</f>
        <v>43.13</v>
      </c>
      <c r="F28" s="6" t="n">
        <f aca="false">IN_HO!F17</f>
        <v>16.85</v>
      </c>
      <c r="G28" s="6" t="n">
        <f aca="false">IN_HO!G17</f>
        <v>15.87</v>
      </c>
      <c r="H28" s="6" t="n">
        <f aca="false">IN_HO!H17</f>
        <v>16.61</v>
      </c>
      <c r="I28" s="7" t="n">
        <f aca="false">SUM(F28:H28)</f>
        <v>49.33</v>
      </c>
      <c r="J28" s="6" t="n">
        <f aca="false">IN_HO!I17</f>
        <v>0</v>
      </c>
      <c r="K28" s="6" t="n">
        <f aca="false">IN_HO!J17</f>
        <v>0</v>
      </c>
      <c r="L28" s="6" t="n">
        <f aca="false">IN_HO!K17</f>
        <v>0</v>
      </c>
      <c r="M28" s="7" t="n">
        <f aca="false">SUM(J28:L28)</f>
        <v>0</v>
      </c>
      <c r="N28" s="6" t="n">
        <f aca="false">IN_HO!L17</f>
        <v>0</v>
      </c>
      <c r="O28" s="6" t="n">
        <f aca="false">IN_HO!M17</f>
        <v>0</v>
      </c>
      <c r="P28" s="6" t="n">
        <f aca="false">IN_HO!N17</f>
        <v>0</v>
      </c>
      <c r="Q28" s="7" t="n">
        <f aca="false">SUM(N28:P28)</f>
        <v>0</v>
      </c>
      <c r="R28" s="7" t="n">
        <f aca="false">E28+I28+M28+Q28</f>
        <v>92.46</v>
      </c>
    </row>
    <row r="29" customFormat="false" ht="15" hidden="false" customHeight="false" outlineLevel="0" collapsed="false">
      <c r="A29" s="2" t="s">
        <v>75</v>
      </c>
      <c r="B29" s="6" t="n">
        <f aca="false">IN_PLF!C18</f>
        <v>5.58</v>
      </c>
      <c r="C29" s="6" t="n">
        <f aca="false">IN_PLF!D18</f>
        <v>5.88</v>
      </c>
      <c r="D29" s="6" t="n">
        <f aca="false">IN_PLF!E18</f>
        <v>5.56</v>
      </c>
      <c r="E29" s="7" t="n">
        <f aca="false">SUM(B29:D29)</f>
        <v>17.02</v>
      </c>
      <c r="F29" s="6" t="n">
        <f aca="false">IN_PLF!F18</f>
        <v>5.53</v>
      </c>
      <c r="G29" s="6" t="n">
        <f aca="false">IN_PLF!G18</f>
        <v>7.21</v>
      </c>
      <c r="H29" s="6" t="n">
        <f aca="false">IN_PLF!H18</f>
        <v>7.25</v>
      </c>
      <c r="I29" s="7" t="n">
        <f aca="false">SUM(F29:H29)</f>
        <v>19.99</v>
      </c>
      <c r="J29" s="6" t="n">
        <f aca="false">IN_PLF!I18</f>
        <v>0</v>
      </c>
      <c r="K29" s="6" t="n">
        <f aca="false">IN_PLF!J18</f>
        <v>0</v>
      </c>
      <c r="L29" s="6" t="n">
        <f aca="false">IN_PLF!K18</f>
        <v>0</v>
      </c>
      <c r="M29" s="7" t="n">
        <f aca="false">SUM(J29:L29)</f>
        <v>0</v>
      </c>
      <c r="N29" s="6" t="n">
        <f aca="false">IN_PLF!L18</f>
        <v>0</v>
      </c>
      <c r="O29" s="6" t="n">
        <f aca="false">IN_PLF!M18</f>
        <v>0</v>
      </c>
      <c r="P29" s="6" t="n">
        <f aca="false">IN_PLF!N18</f>
        <v>0</v>
      </c>
      <c r="Q29" s="7" t="n">
        <f aca="false">SUM(N29:P29)</f>
        <v>0</v>
      </c>
      <c r="R29" s="7" t="n">
        <f aca="false">E29+I29+M29+Q29</f>
        <v>37.01</v>
      </c>
    </row>
    <row r="30" customFormat="false" ht="15" hidden="false" customHeight="false" outlineLevel="0" collapsed="false">
      <c r="A30" s="2" t="s">
        <v>76</v>
      </c>
      <c r="B30" s="6" t="n">
        <f aca="false">IN_HO!C12</f>
        <v>0</v>
      </c>
      <c r="C30" s="6" t="n">
        <f aca="false">IN_HO!D12</f>
        <v>0</v>
      </c>
      <c r="D30" s="6" t="n">
        <f aca="false">IN_HO!E12</f>
        <v>0</v>
      </c>
      <c r="E30" s="7" t="n">
        <f aca="false">SUM(B30:D30)</f>
        <v>0</v>
      </c>
      <c r="F30" s="6" t="n">
        <f aca="false">IN_HO!F12</f>
        <v>0</v>
      </c>
      <c r="G30" s="6" t="n">
        <f aca="false">IN_HO!G12</f>
        <v>0</v>
      </c>
      <c r="H30" s="6" t="n">
        <f aca="false">IN_HO!H12</f>
        <v>3.22</v>
      </c>
      <c r="I30" s="7" t="n">
        <f aca="false">SUM(F30:H30)</f>
        <v>3.22</v>
      </c>
      <c r="J30" s="6" t="n">
        <f aca="false">IN_HO!I12</f>
        <v>0</v>
      </c>
      <c r="K30" s="6" t="n">
        <f aca="false">IN_HO!J12</f>
        <v>0</v>
      </c>
      <c r="L30" s="6" t="n">
        <f aca="false">IN_HO!K12</f>
        <v>0</v>
      </c>
      <c r="M30" s="7" t="n">
        <f aca="false">SUM(J30:L30)</f>
        <v>0</v>
      </c>
      <c r="N30" s="6" t="n">
        <f aca="false">IN_HO!L12</f>
        <v>0</v>
      </c>
      <c r="O30" s="6" t="n">
        <f aca="false">IN_HO!M12</f>
        <v>0</v>
      </c>
      <c r="P30" s="6" t="n">
        <f aca="false">IN_HO!N12</f>
        <v>0</v>
      </c>
      <c r="Q30" s="7" t="n">
        <f aca="false">SUM(N30:P30)</f>
        <v>0</v>
      </c>
      <c r="R30" s="7" t="n">
        <f aca="false">E30+I30+M30+Q30</f>
        <v>3.22</v>
      </c>
    </row>
    <row r="31" customFormat="false" ht="15" hidden="false" customHeight="false" outlineLevel="0" collapsed="false">
      <c r="A31" s="4" t="s">
        <v>77</v>
      </c>
      <c r="B31" s="8" t="n">
        <f aca="false">SUM(B25:B30)</f>
        <v>30.7</v>
      </c>
      <c r="C31" s="8" t="n">
        <f aca="false">SUM(C25:C30)</f>
        <v>30.36</v>
      </c>
      <c r="D31" s="8" t="n">
        <f aca="false">SUM(D25:D30)</f>
        <v>33.15</v>
      </c>
      <c r="E31" s="7" t="n">
        <f aca="false">SUM(B31:D31)</f>
        <v>94.21</v>
      </c>
      <c r="F31" s="8" t="n">
        <f aca="false">SUM(F25:F30)</f>
        <v>38.75</v>
      </c>
      <c r="G31" s="8" t="n">
        <f aca="false">SUM(G25:G30)</f>
        <v>36.14</v>
      </c>
      <c r="H31" s="8" t="n">
        <f aca="false">SUM(H25:H30)</f>
        <v>43.1</v>
      </c>
      <c r="I31" s="7" t="n">
        <f aca="false">SUM(F31:H31)</f>
        <v>117.99</v>
      </c>
      <c r="J31" s="8" t="n">
        <f aca="false">SUM(J25:J30)</f>
        <v>0</v>
      </c>
      <c r="K31" s="8" t="n">
        <f aca="false">SUM(K25:K30)</f>
        <v>0</v>
      </c>
      <c r="L31" s="8" t="n">
        <f aca="false">SUM(L25:L30)</f>
        <v>0</v>
      </c>
      <c r="M31" s="7" t="n">
        <f aca="false">SUM(J31:L31)</f>
        <v>0</v>
      </c>
      <c r="N31" s="8" t="n">
        <f aca="false">SUM(N25:N30)</f>
        <v>0</v>
      </c>
      <c r="O31" s="8" t="n">
        <f aca="false">SUM(O25:O30)</f>
        <v>0</v>
      </c>
      <c r="P31" s="8" t="n">
        <f aca="false">SUM(P25:P30)</f>
        <v>0</v>
      </c>
      <c r="Q31" s="7" t="n">
        <f aca="false">SUM(N31:P31)</f>
        <v>0</v>
      </c>
      <c r="R31" s="7" t="n">
        <f aca="false">E31+I31+M31+Q31</f>
        <v>212.2</v>
      </c>
    </row>
    <row r="32" customFormat="false" ht="15" hidden="false" customHeight="false" outlineLevel="0" collapsed="false">
      <c r="A32" s="4" t="s">
        <v>78</v>
      </c>
      <c r="B32" s="8" t="n">
        <f aca="false">B22-B31</f>
        <v>-17.64</v>
      </c>
      <c r="C32" s="8" t="n">
        <f aca="false">C22-C31</f>
        <v>5.49</v>
      </c>
      <c r="D32" s="8" t="n">
        <f aca="false">D22-D31</f>
        <v>18.13</v>
      </c>
      <c r="E32" s="7" t="n">
        <f aca="false">SUM(B32:D32)</f>
        <v>5.97999999999998</v>
      </c>
      <c r="F32" s="8" t="n">
        <f aca="false">F22-F31</f>
        <v>19.51</v>
      </c>
      <c r="G32" s="8" t="n">
        <f aca="false">G22-G31</f>
        <v>14.37</v>
      </c>
      <c r="H32" s="8" t="n">
        <f aca="false">H22-H31</f>
        <v>23.74</v>
      </c>
      <c r="I32" s="7" t="n">
        <f aca="false">SUM(F32:H32)</f>
        <v>57.62</v>
      </c>
      <c r="J32" s="8" t="n">
        <f aca="false">J22-J31</f>
        <v>0</v>
      </c>
      <c r="K32" s="8" t="n">
        <f aca="false">K22-K31</f>
        <v>0</v>
      </c>
      <c r="L32" s="8" t="n">
        <f aca="false">L22-L31</f>
        <v>0</v>
      </c>
      <c r="M32" s="7" t="n">
        <f aca="false">SUM(J32:L32)</f>
        <v>0</v>
      </c>
      <c r="N32" s="8" t="n">
        <f aca="false">N22-N31</f>
        <v>0</v>
      </c>
      <c r="O32" s="8" t="n">
        <f aca="false">O22-O31</f>
        <v>0</v>
      </c>
      <c r="P32" s="8" t="n">
        <f aca="false">P22-P31</f>
        <v>0</v>
      </c>
      <c r="Q32" s="7" t="n">
        <f aca="false">SUM(N32:P32)</f>
        <v>0</v>
      </c>
      <c r="R32" s="7" t="n">
        <f aca="false">E32+I32+M32+Q32</f>
        <v>63.6</v>
      </c>
    </row>
    <row r="33" customFormat="false" ht="15" hidden="false" customHeight="false" outlineLevel="0" collapsed="false">
      <c r="A33" s="2" t="s">
        <v>79</v>
      </c>
      <c r="B33" s="6" t="n">
        <f aca="false">IN_HO!C18</f>
        <v>0</v>
      </c>
      <c r="C33" s="6" t="n">
        <f aca="false">IN_HO!D18</f>
        <v>0</v>
      </c>
      <c r="D33" s="6" t="n">
        <f aca="false">IN_HO!E18</f>
        <v>0</v>
      </c>
      <c r="E33" s="7" t="n">
        <f aca="false">SUM(B33:D33)</f>
        <v>0</v>
      </c>
      <c r="F33" s="6" t="n">
        <f aca="false">IN_HO!F18</f>
        <v>0</v>
      </c>
      <c r="G33" s="6" t="n">
        <f aca="false">IN_HO!G18</f>
        <v>0</v>
      </c>
      <c r="H33" s="6" t="n">
        <f aca="false">IN_HO!H18</f>
        <v>0</v>
      </c>
      <c r="I33" s="7" t="n">
        <f aca="false">SUM(F33:H33)</f>
        <v>0</v>
      </c>
      <c r="J33" s="6" t="n">
        <f aca="false">IN_HO!I18</f>
        <v>0</v>
      </c>
      <c r="K33" s="6" t="n">
        <f aca="false">IN_HO!J18</f>
        <v>0</v>
      </c>
      <c r="L33" s="6" t="n">
        <f aca="false">IN_HO!K18</f>
        <v>0</v>
      </c>
      <c r="M33" s="7" t="n">
        <f aca="false">SUM(J33:L33)</f>
        <v>0</v>
      </c>
      <c r="N33" s="6" t="n">
        <f aca="false">IN_HO!L18</f>
        <v>0</v>
      </c>
      <c r="O33" s="6" t="n">
        <f aca="false">IN_HO!M18</f>
        <v>0</v>
      </c>
      <c r="P33" s="6" t="n">
        <f aca="false">IN_HO!N18</f>
        <v>0</v>
      </c>
      <c r="Q33" s="7" t="n">
        <f aca="false">SUM(N33:P33)</f>
        <v>0</v>
      </c>
      <c r="R33" s="7" t="n">
        <f aca="false">E33+I33+M33+Q33</f>
        <v>0</v>
      </c>
    </row>
    <row r="34" customFormat="false" ht="15" hidden="false" customHeight="false" outlineLevel="0" collapsed="false">
      <c r="A34" s="2" t="s">
        <v>80</v>
      </c>
      <c r="B34" s="6" t="n">
        <f aca="false">IN_HO!C19</f>
        <v>0</v>
      </c>
      <c r="C34" s="6" t="n">
        <f aca="false">IN_HO!D19</f>
        <v>0</v>
      </c>
      <c r="D34" s="6" t="n">
        <f aca="false">IN_HO!E19</f>
        <v>0</v>
      </c>
      <c r="E34" s="7" t="n">
        <f aca="false">SUM(B34:D34)</f>
        <v>0</v>
      </c>
      <c r="F34" s="6" t="n">
        <f aca="false">IN_HO!F19</f>
        <v>0</v>
      </c>
      <c r="G34" s="6" t="n">
        <f aca="false">IN_HO!G19</f>
        <v>0</v>
      </c>
      <c r="H34" s="6" t="n">
        <f aca="false">IN_HO!H19</f>
        <v>0</v>
      </c>
      <c r="I34" s="7" t="n">
        <f aca="false">SUM(F34:H34)</f>
        <v>0</v>
      </c>
      <c r="J34" s="6" t="n">
        <f aca="false">IN_HO!I19</f>
        <v>0</v>
      </c>
      <c r="K34" s="6" t="n">
        <f aca="false">IN_HO!J19</f>
        <v>0</v>
      </c>
      <c r="L34" s="6" t="n">
        <f aca="false">IN_HO!K19</f>
        <v>0</v>
      </c>
      <c r="M34" s="7" t="n">
        <f aca="false">SUM(J34:L34)</f>
        <v>0</v>
      </c>
      <c r="N34" s="6" t="n">
        <f aca="false">IN_HO!L19</f>
        <v>0</v>
      </c>
      <c r="O34" s="6" t="n">
        <f aca="false">IN_HO!M19</f>
        <v>0</v>
      </c>
      <c r="P34" s="6" t="n">
        <f aca="false">IN_HO!N19</f>
        <v>0</v>
      </c>
      <c r="Q34" s="7" t="n">
        <f aca="false">SUM(N34:P34)</f>
        <v>0</v>
      </c>
      <c r="R34" s="7" t="n">
        <f aca="false">E34+I34+M34+Q34</f>
        <v>0</v>
      </c>
    </row>
    <row r="35" customFormat="false" ht="15" hidden="false" customHeight="false" outlineLevel="0" collapsed="false">
      <c r="A35" s="4" t="s">
        <v>81</v>
      </c>
      <c r="B35" s="8" t="n">
        <f aca="false">B32-B33-B34</f>
        <v>-17.64</v>
      </c>
      <c r="C35" s="8" t="n">
        <f aca="false">C32-C33-C34</f>
        <v>5.49</v>
      </c>
      <c r="D35" s="8" t="n">
        <f aca="false">D32-D33-D34</f>
        <v>18.13</v>
      </c>
      <c r="E35" s="7" t="n">
        <f aca="false">SUM(B35:D35)</f>
        <v>5.97999999999998</v>
      </c>
      <c r="F35" s="8" t="n">
        <f aca="false">F32-F33-F34</f>
        <v>19.51</v>
      </c>
      <c r="G35" s="8" t="n">
        <f aca="false">G32-G33-G34</f>
        <v>14.37</v>
      </c>
      <c r="H35" s="8" t="n">
        <f aca="false">H32-H33-H34</f>
        <v>23.74</v>
      </c>
      <c r="I35" s="7" t="n">
        <f aca="false">SUM(F35:H35)</f>
        <v>57.62</v>
      </c>
      <c r="J35" s="8" t="n">
        <f aca="false">J32-J33-J34</f>
        <v>0</v>
      </c>
      <c r="K35" s="8" t="n">
        <f aca="false">K32-K33-K34</f>
        <v>0</v>
      </c>
      <c r="L35" s="8" t="n">
        <f aca="false">L32-L33-L34</f>
        <v>0</v>
      </c>
      <c r="M35" s="7" t="n">
        <f aca="false">SUM(J35:L35)</f>
        <v>0</v>
      </c>
      <c r="N35" s="8" t="n">
        <f aca="false">N32-N33-N34</f>
        <v>0</v>
      </c>
      <c r="O35" s="8" t="n">
        <f aca="false">O32-O33-O34</f>
        <v>0</v>
      </c>
      <c r="P35" s="8" t="n">
        <f aca="false">P32-P33-P34</f>
        <v>0</v>
      </c>
      <c r="Q35" s="7" t="n">
        <f aca="false">SUM(N35:P35)</f>
        <v>0</v>
      </c>
      <c r="R35" s="7" t="n">
        <f aca="false">E35+I35+M35+Q35</f>
        <v>63.6</v>
      </c>
    </row>
    <row r="36" customFormat="false" ht="15" hidden="false" customHeight="false" outlineLevel="0" collapsed="false">
      <c r="A36" s="2" t="s">
        <v>82</v>
      </c>
      <c r="B36" s="6" t="n">
        <f aca="false">IN_PLF!C45+IN_HO!C13</f>
        <v>6.89</v>
      </c>
      <c r="C36" s="6" t="n">
        <f aca="false">IN_PLF!D45+IN_HO!D13</f>
        <v>6.89</v>
      </c>
      <c r="D36" s="6" t="n">
        <f aca="false">IN_PLF!E45+IN_HO!E13</f>
        <v>6.89</v>
      </c>
      <c r="E36" s="7" t="n">
        <f aca="false">SUM(B36:D36)</f>
        <v>20.67</v>
      </c>
      <c r="F36" s="6" t="n">
        <f aca="false">IN_PLF!F45+IN_HO!F13</f>
        <v>6.95</v>
      </c>
      <c r="G36" s="6" t="n">
        <f aca="false">IN_PLF!G45+IN_HO!G13</f>
        <v>7.91</v>
      </c>
      <c r="H36" s="6" t="n">
        <f aca="false">IN_PLF!H45+IN_HO!H13</f>
        <v>7.39</v>
      </c>
      <c r="I36" s="7" t="n">
        <f aca="false">SUM(F36:H36)</f>
        <v>22.25</v>
      </c>
      <c r="J36" s="6" t="n">
        <f aca="false">IN_PLF!I45+IN_HO!I13</f>
        <v>0</v>
      </c>
      <c r="K36" s="6" t="n">
        <f aca="false">IN_PLF!J45+IN_HO!J13</f>
        <v>0</v>
      </c>
      <c r="L36" s="6" t="n">
        <f aca="false">IN_PLF!K45+IN_HO!K13</f>
        <v>0</v>
      </c>
      <c r="M36" s="7" t="n">
        <f aca="false">SUM(J36:L36)</f>
        <v>0</v>
      </c>
      <c r="N36" s="6" t="n">
        <f aca="false">IN_PLF!L45+IN_HO!L13</f>
        <v>0</v>
      </c>
      <c r="O36" s="6" t="n">
        <f aca="false">IN_PLF!M45+IN_HO!M13</f>
        <v>0</v>
      </c>
      <c r="P36" s="6" t="n">
        <f aca="false">IN_PLF!N45+IN_HO!N13</f>
        <v>0</v>
      </c>
      <c r="Q36" s="7" t="n">
        <f aca="false">SUM(N36:P36)</f>
        <v>0</v>
      </c>
      <c r="R36" s="7" t="n">
        <f aca="false">E36+I36+M36+Q36</f>
        <v>42.92</v>
      </c>
    </row>
    <row r="37" customFormat="false" ht="15" hidden="false" customHeight="false" outlineLevel="0" collapsed="false">
      <c r="A37" s="4" t="s">
        <v>83</v>
      </c>
      <c r="B37" s="8" t="n">
        <f aca="false">B35+B36</f>
        <v>-10.75</v>
      </c>
      <c r="C37" s="8" t="n">
        <f aca="false">C35+C36</f>
        <v>12.38</v>
      </c>
      <c r="D37" s="8" t="n">
        <f aca="false">D35+D36</f>
        <v>25.02</v>
      </c>
      <c r="E37" s="7" t="n">
        <f aca="false">SUM(B37:D37)</f>
        <v>26.65</v>
      </c>
      <c r="F37" s="8" t="n">
        <f aca="false">F35+F36</f>
        <v>26.46</v>
      </c>
      <c r="G37" s="8" t="n">
        <f aca="false">G35+G36</f>
        <v>22.28</v>
      </c>
      <c r="H37" s="8" t="n">
        <f aca="false">H35+H36</f>
        <v>31.13</v>
      </c>
      <c r="I37" s="7" t="n">
        <f aca="false">SUM(F37:H37)</f>
        <v>79.87</v>
      </c>
      <c r="J37" s="8" t="n">
        <f aca="false">J35+J36</f>
        <v>0</v>
      </c>
      <c r="K37" s="8" t="n">
        <f aca="false">K35+K36</f>
        <v>0</v>
      </c>
      <c r="L37" s="8" t="n">
        <f aca="false">L35+L36</f>
        <v>0</v>
      </c>
      <c r="M37" s="7" t="n">
        <f aca="false">SUM(J37:L37)</f>
        <v>0</v>
      </c>
      <c r="N37" s="8" t="n">
        <f aca="false">N35+N36</f>
        <v>0</v>
      </c>
      <c r="O37" s="8" t="n">
        <f aca="false">O35+O36</f>
        <v>0</v>
      </c>
      <c r="P37" s="8" t="n">
        <f aca="false">P35+P36</f>
        <v>0</v>
      </c>
      <c r="Q37" s="7" t="n">
        <f aca="false">SUM(N37:P37)</f>
        <v>0</v>
      </c>
      <c r="R37" s="7" t="n">
        <f aca="false">E37+I37+M37+Q37</f>
        <v>106.52</v>
      </c>
    </row>
    <row r="38" customFormat="false" ht="15" hidden="false" customHeight="false" outlineLevel="0" collapsed="false">
      <c r="A38" s="2" t="s">
        <v>84</v>
      </c>
      <c r="B38" s="6" t="n">
        <f aca="false">IN_HO!C20</f>
        <v>0</v>
      </c>
      <c r="C38" s="6" t="n">
        <f aca="false">IN_HO!D20</f>
        <v>0</v>
      </c>
      <c r="D38" s="6" t="n">
        <f aca="false">IN_HO!E20</f>
        <v>0</v>
      </c>
      <c r="E38" s="7" t="n">
        <f aca="false">SUM(B38:D38)</f>
        <v>0</v>
      </c>
      <c r="F38" s="6" t="n">
        <f aca="false">IN_HO!F20</f>
        <v>0</v>
      </c>
      <c r="G38" s="6" t="n">
        <f aca="false">IN_HO!G20</f>
        <v>0</v>
      </c>
      <c r="H38" s="6" t="n">
        <f aca="false">IN_HO!H20</f>
        <v>0</v>
      </c>
      <c r="I38" s="7" t="n">
        <f aca="false">SUM(F38:H38)</f>
        <v>0</v>
      </c>
      <c r="J38" s="6" t="n">
        <f aca="false">IN_HO!I20</f>
        <v>0</v>
      </c>
      <c r="K38" s="6" t="n">
        <f aca="false">IN_HO!J20</f>
        <v>0</v>
      </c>
      <c r="L38" s="6" t="n">
        <f aca="false">IN_HO!K20</f>
        <v>0</v>
      </c>
      <c r="M38" s="7" t="n">
        <f aca="false">SUM(J38:L38)</f>
        <v>0</v>
      </c>
      <c r="N38" s="6" t="n">
        <f aca="false">IN_HO!L20</f>
        <v>0</v>
      </c>
      <c r="O38" s="6" t="n">
        <f aca="false">IN_HO!M20</f>
        <v>0</v>
      </c>
      <c r="P38" s="6" t="n">
        <f aca="false">IN_HO!N20</f>
        <v>0</v>
      </c>
      <c r="Q38" s="7" t="n">
        <f aca="false">SUM(N38:P38)</f>
        <v>0</v>
      </c>
      <c r="R38" s="7" t="n">
        <f aca="false">E38+I38+M38+Q38</f>
        <v>0</v>
      </c>
    </row>
    <row r="39" customFormat="false" ht="15" hidden="false" customHeight="false" outlineLevel="0" collapsed="false">
      <c r="A39" s="2" t="s">
        <v>85</v>
      </c>
      <c r="B39" s="6" t="n">
        <f aca="false">IN_HO!C21</f>
        <v>0</v>
      </c>
      <c r="C39" s="6" t="n">
        <f aca="false">IN_HO!D21</f>
        <v>0</v>
      </c>
      <c r="D39" s="6" t="n">
        <f aca="false">IN_HO!E21</f>
        <v>0</v>
      </c>
      <c r="E39" s="7" t="n">
        <f aca="false">SUM(B39:D39)</f>
        <v>0</v>
      </c>
      <c r="F39" s="6" t="n">
        <f aca="false">IN_HO!F21</f>
        <v>0</v>
      </c>
      <c r="G39" s="6" t="n">
        <f aca="false">IN_HO!G21</f>
        <v>0</v>
      </c>
      <c r="H39" s="6" t="n">
        <f aca="false">IN_HO!H21</f>
        <v>0</v>
      </c>
      <c r="I39" s="7" t="n">
        <f aca="false">SUM(F39:H39)</f>
        <v>0</v>
      </c>
      <c r="J39" s="6" t="n">
        <f aca="false">IN_HO!I21</f>
        <v>0</v>
      </c>
      <c r="K39" s="6" t="n">
        <f aca="false">IN_HO!J21</f>
        <v>0</v>
      </c>
      <c r="L39" s="6" t="n">
        <f aca="false">IN_HO!K21</f>
        <v>0</v>
      </c>
      <c r="M39" s="7" t="n">
        <f aca="false">SUM(J39:L39)</f>
        <v>0</v>
      </c>
      <c r="N39" s="6" t="n">
        <f aca="false">IN_HO!L21</f>
        <v>0</v>
      </c>
      <c r="O39" s="6" t="n">
        <f aca="false">IN_HO!M21</f>
        <v>0</v>
      </c>
      <c r="P39" s="6" t="n">
        <f aca="false">IN_HO!N21</f>
        <v>0</v>
      </c>
      <c r="Q39" s="7" t="n">
        <f aca="false">SUM(N39:P39)</f>
        <v>0</v>
      </c>
      <c r="R39" s="7" t="n">
        <f aca="false">E39+I39+M39+Q39</f>
        <v>0</v>
      </c>
    </row>
    <row r="40" customFormat="false" ht="15" hidden="false" customHeight="false" outlineLevel="0" collapsed="false">
      <c r="A40" s="4" t="s">
        <v>86</v>
      </c>
      <c r="B40" s="8" t="n">
        <f aca="false">B37-B38-B39</f>
        <v>-10.75</v>
      </c>
      <c r="C40" s="8" t="n">
        <f aca="false">C37-C38-C39</f>
        <v>12.38</v>
      </c>
      <c r="D40" s="8" t="n">
        <f aca="false">D37-D38-D39</f>
        <v>25.02</v>
      </c>
      <c r="E40" s="7" t="n">
        <f aca="false">SUM(B40:D40)</f>
        <v>26.65</v>
      </c>
      <c r="F40" s="8" t="n">
        <f aca="false">F37-F38-F39</f>
        <v>26.46</v>
      </c>
      <c r="G40" s="8" t="n">
        <f aca="false">G37-G38-G39</f>
        <v>22.28</v>
      </c>
      <c r="H40" s="8" t="n">
        <f aca="false">H37-H38-H39</f>
        <v>31.13</v>
      </c>
      <c r="I40" s="7" t="n">
        <f aca="false">SUM(F40:H40)</f>
        <v>79.87</v>
      </c>
      <c r="J40" s="8" t="n">
        <f aca="false">J37-J38-J39</f>
        <v>0</v>
      </c>
      <c r="K40" s="8" t="n">
        <f aca="false">K37-K38-K39</f>
        <v>0</v>
      </c>
      <c r="L40" s="8" t="n">
        <f aca="false">L37-L38-L39</f>
        <v>0</v>
      </c>
      <c r="M40" s="7" t="n">
        <f aca="false">SUM(J40:L40)</f>
        <v>0</v>
      </c>
      <c r="N40" s="8" t="n">
        <f aca="false">N37-N38-N39</f>
        <v>0</v>
      </c>
      <c r="O40" s="8" t="n">
        <f aca="false">O37-O38-O39</f>
        <v>0</v>
      </c>
      <c r="P40" s="8" t="n">
        <f aca="false">P37-P38-P39</f>
        <v>0</v>
      </c>
      <c r="Q40" s="7" t="n">
        <f aca="false">SUM(N40:P40)</f>
        <v>0</v>
      </c>
      <c r="R40" s="7" t="n">
        <f aca="false">E40+I40+M40+Q40</f>
        <v>106.52</v>
      </c>
    </row>
    <row r="43" customFormat="false" ht="15" hidden="false" customHeight="false" outlineLevel="0" collapsed="false">
      <c r="A43" s="4" t="s">
        <v>87</v>
      </c>
    </row>
    <row r="44" customFormat="false" ht="23.85" hidden="false" customHeight="false" outlineLevel="0" collapsed="false">
      <c r="A44" s="5" t="s">
        <v>35</v>
      </c>
      <c r="B44" s="5" t="s">
        <v>36</v>
      </c>
      <c r="C44" s="5" t="s">
        <v>37</v>
      </c>
      <c r="D44" s="5" t="s">
        <v>38</v>
      </c>
      <c r="E44" s="5" t="s">
        <v>39</v>
      </c>
      <c r="F44" s="5" t="s">
        <v>40</v>
      </c>
      <c r="G44" s="5" t="s">
        <v>41</v>
      </c>
      <c r="H44" s="5" t="s">
        <v>42</v>
      </c>
      <c r="I44" s="5" t="s">
        <v>43</v>
      </c>
      <c r="J44" s="5" t="s">
        <v>44</v>
      </c>
      <c r="K44" s="5" t="s">
        <v>45</v>
      </c>
      <c r="L44" s="5" t="s">
        <v>46</v>
      </c>
      <c r="M44" s="5" t="s">
        <v>47</v>
      </c>
      <c r="N44" s="5" t="s">
        <v>48</v>
      </c>
      <c r="O44" s="5" t="s">
        <v>49</v>
      </c>
      <c r="P44" s="5" t="s">
        <v>50</v>
      </c>
      <c r="Q44" s="5" t="s">
        <v>51</v>
      </c>
      <c r="R44" s="5" t="s">
        <v>52</v>
      </c>
      <c r="S44" s="5" t="s">
        <v>34</v>
      </c>
    </row>
    <row r="45" customFormat="false" ht="15" hidden="false" customHeight="false" outlineLevel="0" collapsed="false">
      <c r="A45" s="2" t="s">
        <v>88</v>
      </c>
      <c r="B45" s="9" t="n">
        <f aca="false">IN_HO!C24</f>
        <v>33.56</v>
      </c>
      <c r="C45" s="9" t="n">
        <f aca="false">IN_HO!D24</f>
        <v>84.62</v>
      </c>
      <c r="D45" s="9" t="n">
        <f aca="false">IN_HO!E24</f>
        <v>83</v>
      </c>
      <c r="E45" s="7" t="n">
        <f aca="false">SUM(B45:D45)</f>
        <v>201.18</v>
      </c>
      <c r="F45" s="9" t="n">
        <f aca="false">IN_HO!F24</f>
        <v>84.62</v>
      </c>
      <c r="G45" s="9" t="n">
        <f aca="false">IN_HO!G24</f>
        <v>77.44</v>
      </c>
      <c r="H45" s="9" t="n">
        <f aca="false">IN_HO!H24</f>
        <v>105.48</v>
      </c>
      <c r="I45" s="7" t="n">
        <f aca="false">SUM(F45:H45)</f>
        <v>267.54</v>
      </c>
      <c r="J45" s="9" t="n">
        <f aca="false">IN_HO!I24</f>
        <v>0</v>
      </c>
      <c r="K45" s="9" t="n">
        <f aca="false">IN_HO!J24</f>
        <v>0</v>
      </c>
      <c r="L45" s="9" t="n">
        <f aca="false">IN_HO!K24</f>
        <v>0</v>
      </c>
      <c r="M45" s="7" t="n">
        <f aca="false">SUM(J45:L45)</f>
        <v>0</v>
      </c>
      <c r="N45" s="9" t="n">
        <f aca="false">IN_HO!L24</f>
        <v>0</v>
      </c>
      <c r="O45" s="9" t="n">
        <f aca="false">IN_HO!M24</f>
        <v>0</v>
      </c>
      <c r="P45" s="9" t="n">
        <f aca="false">IN_HO!N24</f>
        <v>0</v>
      </c>
      <c r="Q45" s="7" t="n">
        <f aca="false">SUM(N45:P45)</f>
        <v>0</v>
      </c>
      <c r="R45" s="7" t="n">
        <f aca="false">E45+I45+M45+Q45</f>
        <v>468.72</v>
      </c>
      <c r="S45" s="9" t="n">
        <f aca="false">R45/12</f>
        <v>39.06</v>
      </c>
    </row>
    <row r="46" customFormat="false" ht="15" hidden="false" customHeight="false" outlineLevel="0" collapsed="false">
      <c r="A46" s="2" t="s">
        <v>89</v>
      </c>
      <c r="B46" s="9" t="n">
        <f aca="false">IN_HO!C25</f>
        <v>50.44</v>
      </c>
      <c r="C46" s="9" t="n">
        <f aca="false">IN_HO!D25</f>
        <v>36.67</v>
      </c>
      <c r="D46" s="9" t="n">
        <f aca="false">IN_HO!E25</f>
        <v>106.07</v>
      </c>
      <c r="E46" s="7" t="n">
        <f aca="false">SUM(B46:D46)</f>
        <v>193.18</v>
      </c>
      <c r="F46" s="9" t="n">
        <f aca="false">IN_HO!F25</f>
        <v>36.67</v>
      </c>
      <c r="G46" s="9" t="n">
        <f aca="false">IN_HO!G25</f>
        <v>94.58</v>
      </c>
      <c r="H46" s="9" t="n">
        <f aca="false">IN_HO!H25</f>
        <v>89.34</v>
      </c>
      <c r="I46" s="7" t="n">
        <f aca="false">SUM(F46:H46)</f>
        <v>220.59</v>
      </c>
      <c r="J46" s="9" t="n">
        <f aca="false">IN_HO!I25</f>
        <v>0</v>
      </c>
      <c r="K46" s="9" t="n">
        <f aca="false">IN_HO!J25</f>
        <v>0</v>
      </c>
      <c r="L46" s="9" t="n">
        <f aca="false">IN_HO!K25</f>
        <v>0</v>
      </c>
      <c r="M46" s="7" t="n">
        <f aca="false">SUM(J46:L46)</f>
        <v>0</v>
      </c>
      <c r="N46" s="9" t="n">
        <f aca="false">IN_HO!L25</f>
        <v>0</v>
      </c>
      <c r="O46" s="9" t="n">
        <f aca="false">IN_HO!M25</f>
        <v>0</v>
      </c>
      <c r="P46" s="9" t="n">
        <f aca="false">IN_HO!N25</f>
        <v>0</v>
      </c>
      <c r="Q46" s="7" t="n">
        <f aca="false">SUM(N46:P46)</f>
        <v>0</v>
      </c>
      <c r="R46" s="7" t="n">
        <f aca="false">E46+I46+M46+Q46</f>
        <v>413.77</v>
      </c>
      <c r="S46" s="9" t="n">
        <f aca="false">R46/12</f>
        <v>34.4808333333333</v>
      </c>
    </row>
    <row r="47" customFormat="false" ht="15" hidden="false" customHeight="false" outlineLevel="0" collapsed="false">
      <c r="A47" s="2" t="s">
        <v>90</v>
      </c>
      <c r="B47" s="9" t="n">
        <f aca="false">IN_HO!C26</f>
        <v>5.73</v>
      </c>
      <c r="C47" s="9" t="n">
        <f aca="false">IN_HO!D26</f>
        <v>6.9</v>
      </c>
      <c r="D47" s="9" t="n">
        <f aca="false">IN_HO!E26</f>
        <v>9.39</v>
      </c>
      <c r="E47" s="7" t="n">
        <f aca="false">SUM(B47:D47)</f>
        <v>22.02</v>
      </c>
      <c r="F47" s="9" t="n">
        <f aca="false">IN_HO!F26</f>
        <v>6.9</v>
      </c>
      <c r="G47" s="9" t="n">
        <f aca="false">IN_HO!G26</f>
        <v>9.16</v>
      </c>
      <c r="H47" s="9" t="n">
        <f aca="false">IN_HO!H26</f>
        <v>9.04</v>
      </c>
      <c r="I47" s="7" t="n">
        <f aca="false">SUM(F47:H47)</f>
        <v>25.1</v>
      </c>
      <c r="J47" s="9" t="n">
        <f aca="false">IN_HO!I26</f>
        <v>0</v>
      </c>
      <c r="K47" s="9" t="n">
        <f aca="false">IN_HO!J26</f>
        <v>0</v>
      </c>
      <c r="L47" s="9" t="n">
        <f aca="false">IN_HO!K26</f>
        <v>0</v>
      </c>
      <c r="M47" s="7" t="n">
        <f aca="false">SUM(J47:L47)</f>
        <v>0</v>
      </c>
      <c r="N47" s="9" t="n">
        <f aca="false">IN_HO!L26</f>
        <v>0</v>
      </c>
      <c r="O47" s="9" t="n">
        <f aca="false">IN_HO!M26</f>
        <v>0</v>
      </c>
      <c r="P47" s="9" t="n">
        <f aca="false">IN_HO!N26</f>
        <v>0</v>
      </c>
      <c r="Q47" s="7" t="n">
        <f aca="false">SUM(N47:P47)</f>
        <v>0</v>
      </c>
      <c r="R47" s="7" t="n">
        <f aca="false">E47+I47+M47+Q47</f>
        <v>47.12</v>
      </c>
      <c r="S47" s="9" t="n">
        <f aca="false">R47/12</f>
        <v>3.92666666666667</v>
      </c>
    </row>
    <row r="48" customFormat="false" ht="15" hidden="false" customHeight="false" outlineLevel="0" collapsed="false">
      <c r="A48" s="2" t="s">
        <v>91</v>
      </c>
      <c r="B48" s="9" t="n">
        <f aca="false">IF(B46=0,0,IN_PLF!C39/B46)</f>
        <v>2.52735923869945</v>
      </c>
      <c r="C48" s="9" t="n">
        <f aca="false">IF(C46=0,0,IN_PLF!D39/C46)</f>
        <v>2.45486773929643</v>
      </c>
      <c r="D48" s="9" t="n">
        <f aca="false">IF(D46=0,0,IN_PLF!E39/D46)</f>
        <v>2.62817007636466</v>
      </c>
      <c r="F48" s="9" t="n">
        <f aca="false">IF(F46=0,0,IN_PLF!F39/F46)</f>
        <v>7.55304063266976</v>
      </c>
      <c r="G48" s="9" t="n">
        <f aca="false">IF(G46=0,0,IN_PLF!G39/G46)</f>
        <v>2.43434129837175</v>
      </c>
      <c r="H48" s="9" t="n">
        <f aca="false">IF(H46=0,0,IN_PLF!H39/H46)</f>
        <v>2.44392209536602</v>
      </c>
      <c r="J48" s="9" t="n">
        <f aca="false">IF(J46=0,0,IN_PLF!I39/J46)</f>
        <v>0</v>
      </c>
      <c r="K48" s="9" t="n">
        <f aca="false">IF(K46=0,0,IN_PLF!J39/K46)</f>
        <v>0</v>
      </c>
      <c r="L48" s="9" t="n">
        <f aca="false">IF(L46=0,0,IN_PLF!K39/L46)</f>
        <v>0</v>
      </c>
      <c r="N48" s="9" t="n">
        <f aca="false">IF(N46=0,0,IN_PLF!L39/N46)</f>
        <v>0</v>
      </c>
      <c r="O48" s="9" t="n">
        <f aca="false">IF(O46=0,0,IN_PLF!M39/O46)</f>
        <v>0</v>
      </c>
      <c r="P48" s="9" t="n">
        <f aca="false">IF(P46=0,0,IN_PLF!N39/P46)</f>
        <v>0</v>
      </c>
    </row>
    <row r="49" customFormat="false" ht="15" hidden="false" customHeight="false" outlineLevel="0" collapsed="false">
      <c r="A49" s="2" t="s">
        <v>92</v>
      </c>
      <c r="B49" s="9" t="n">
        <f aca="false">B11</f>
        <v>127.48</v>
      </c>
      <c r="C49" s="9" t="n">
        <f aca="false">C11</f>
        <v>150.3</v>
      </c>
      <c r="D49" s="9" t="n">
        <f aca="false">D11</f>
        <v>206.48</v>
      </c>
      <c r="E49" s="7" t="n">
        <f aca="false">SUM(B49:D49)</f>
        <v>484.26</v>
      </c>
      <c r="F49" s="9" t="n">
        <f aca="false">F11</f>
        <v>275.62</v>
      </c>
      <c r="G49" s="9" t="n">
        <f aca="false">G11</f>
        <v>229.24</v>
      </c>
      <c r="H49" s="9" t="n">
        <f aca="false">H11</f>
        <v>217.78</v>
      </c>
      <c r="I49" s="7" t="n">
        <f aca="false">SUM(F49:H49)</f>
        <v>722.64</v>
      </c>
      <c r="J49" s="9" t="n">
        <f aca="false">J11</f>
        <v>0</v>
      </c>
      <c r="K49" s="9" t="n">
        <f aca="false">K11</f>
        <v>0</v>
      </c>
      <c r="L49" s="9" t="n">
        <f aca="false">L11</f>
        <v>0</v>
      </c>
      <c r="M49" s="7" t="n">
        <f aca="false">SUM(J49:L49)</f>
        <v>0</v>
      </c>
      <c r="N49" s="9" t="n">
        <f aca="false">N11</f>
        <v>0</v>
      </c>
      <c r="O49" s="9" t="n">
        <f aca="false">O11</f>
        <v>0</v>
      </c>
      <c r="P49" s="9" t="n">
        <f aca="false">P11</f>
        <v>0</v>
      </c>
      <c r="Q49" s="7" t="n">
        <f aca="false">SUM(N49:P49)</f>
        <v>0</v>
      </c>
      <c r="R49" s="7" t="n">
        <f aca="false">E49+I49+M49+Q49</f>
        <v>1206.9</v>
      </c>
      <c r="S49" s="9" t="n">
        <f aca="false">R49/12</f>
        <v>100.575</v>
      </c>
    </row>
    <row r="50" customFormat="false" ht="15" hidden="false" customHeight="false" outlineLevel="0" collapsed="false">
      <c r="A50" s="2" t="s">
        <v>93</v>
      </c>
      <c r="B50" s="9" t="n">
        <f aca="false">IN_HO!C27</f>
        <v>149.75</v>
      </c>
      <c r="C50" s="9" t="n">
        <f aca="false">IN_HO!D27</f>
        <v>126.8</v>
      </c>
      <c r="D50" s="9" t="n">
        <f aca="false">IN_HO!E27</f>
        <v>238.95</v>
      </c>
      <c r="E50" s="7" t="n">
        <f aca="false">SUM(B50:D50)</f>
        <v>515.5</v>
      </c>
      <c r="F50" s="9" t="n">
        <f aca="false">IN_HO!F27</f>
        <v>269.64</v>
      </c>
      <c r="G50" s="9" t="n">
        <f aca="false">IN_HO!G27</f>
        <v>302.91</v>
      </c>
      <c r="H50" s="9" t="n">
        <f aca="false">IN_HO!H27</f>
        <v>284.24</v>
      </c>
      <c r="I50" s="7" t="n">
        <f aca="false">SUM(F50:H50)</f>
        <v>856.79</v>
      </c>
      <c r="J50" s="9" t="n">
        <f aca="false">IN_HO!I27</f>
        <v>0</v>
      </c>
      <c r="K50" s="9" t="n">
        <f aca="false">IN_HO!J27</f>
        <v>0</v>
      </c>
      <c r="L50" s="9" t="n">
        <f aca="false">IN_HO!K27</f>
        <v>0</v>
      </c>
      <c r="M50" s="7" t="n">
        <f aca="false">SUM(J50:L50)</f>
        <v>0</v>
      </c>
      <c r="N50" s="9" t="n">
        <f aca="false">IN_HO!L27</f>
        <v>0</v>
      </c>
      <c r="O50" s="9" t="n">
        <f aca="false">IN_HO!M27</f>
        <v>0</v>
      </c>
      <c r="P50" s="9" t="n">
        <f aca="false">IN_HO!N27</f>
        <v>0</v>
      </c>
      <c r="Q50" s="7" t="n">
        <f aca="false">SUM(N50:P50)</f>
        <v>0</v>
      </c>
      <c r="R50" s="7" t="n">
        <f aca="false">E50+I50+M50+Q50</f>
        <v>1372.29</v>
      </c>
      <c r="S50" s="9" t="n">
        <f aca="false">R50/12</f>
        <v>114.3575</v>
      </c>
    </row>
    <row r="51" customFormat="false" ht="15" hidden="false" customHeight="false" outlineLevel="0" collapsed="false">
      <c r="A51" s="2" t="s">
        <v>94</v>
      </c>
      <c r="B51" s="9" t="n">
        <f aca="false">B40</f>
        <v>-10.75</v>
      </c>
      <c r="C51" s="9" t="n">
        <f aca="false">C40</f>
        <v>12.38</v>
      </c>
      <c r="D51" s="9" t="n">
        <f aca="false">D40</f>
        <v>25.02</v>
      </c>
      <c r="E51" s="7" t="n">
        <f aca="false">SUM(B51:D51)</f>
        <v>26.65</v>
      </c>
      <c r="F51" s="9" t="n">
        <f aca="false">F40</f>
        <v>26.46</v>
      </c>
      <c r="G51" s="9" t="n">
        <f aca="false">G40</f>
        <v>22.28</v>
      </c>
      <c r="H51" s="9" t="n">
        <f aca="false">H40</f>
        <v>31.13</v>
      </c>
      <c r="I51" s="7" t="n">
        <f aca="false">SUM(F51:H51)</f>
        <v>79.87</v>
      </c>
      <c r="J51" s="9" t="n">
        <f aca="false">J40</f>
        <v>0</v>
      </c>
      <c r="K51" s="9" t="n">
        <f aca="false">K40</f>
        <v>0</v>
      </c>
      <c r="L51" s="9" t="n">
        <f aca="false">L40</f>
        <v>0</v>
      </c>
      <c r="M51" s="7" t="n">
        <f aca="false">SUM(J51:L51)</f>
        <v>0</v>
      </c>
      <c r="N51" s="9" t="n">
        <f aca="false">N40</f>
        <v>0</v>
      </c>
      <c r="O51" s="9" t="n">
        <f aca="false">O40</f>
        <v>0</v>
      </c>
      <c r="P51" s="9" t="n">
        <f aca="false">P40</f>
        <v>0</v>
      </c>
      <c r="Q51" s="7" t="n">
        <f aca="false">SUM(N51:P51)</f>
        <v>0</v>
      </c>
      <c r="R51" s="7" t="n">
        <f aca="false">E51+I51+M51+Q51</f>
        <v>106.52</v>
      </c>
      <c r="S51" s="9" t="n">
        <f aca="false">R51/12</f>
        <v>8.87666666666666</v>
      </c>
    </row>
    <row r="52" customFormat="false" ht="15" hidden="false" customHeight="false" outlineLevel="0" collapsed="false">
      <c r="A52" s="2" t="s">
        <v>95</v>
      </c>
      <c r="B52" s="9" t="n">
        <f aca="false">B32</f>
        <v>-17.64</v>
      </c>
      <c r="C52" s="9" t="n">
        <f aca="false">C32</f>
        <v>5.49</v>
      </c>
      <c r="D52" s="9" t="n">
        <f aca="false">D32</f>
        <v>18.13</v>
      </c>
      <c r="E52" s="7" t="n">
        <f aca="false">SUM(B52:D52)</f>
        <v>5.97999999999998</v>
      </c>
      <c r="F52" s="9" t="n">
        <f aca="false">F32</f>
        <v>19.51</v>
      </c>
      <c r="G52" s="9" t="n">
        <f aca="false">G32</f>
        <v>14.37</v>
      </c>
      <c r="H52" s="9" t="n">
        <f aca="false">H32</f>
        <v>23.74</v>
      </c>
      <c r="I52" s="7" t="n">
        <f aca="false">SUM(F52:H52)</f>
        <v>57.62</v>
      </c>
      <c r="J52" s="9" t="n">
        <f aca="false">J32</f>
        <v>0</v>
      </c>
      <c r="K52" s="9" t="n">
        <f aca="false">K32</f>
        <v>0</v>
      </c>
      <c r="L52" s="9" t="n">
        <f aca="false">L32</f>
        <v>0</v>
      </c>
      <c r="M52" s="7" t="n">
        <f aca="false">SUM(J52:L52)</f>
        <v>0</v>
      </c>
      <c r="N52" s="9" t="n">
        <f aca="false">N32</f>
        <v>0</v>
      </c>
      <c r="O52" s="9" t="n">
        <f aca="false">O32</f>
        <v>0</v>
      </c>
      <c r="P52" s="9" t="n">
        <f aca="false">P32</f>
        <v>0</v>
      </c>
      <c r="Q52" s="7" t="n">
        <f aca="false">SUM(N52:P52)</f>
        <v>0</v>
      </c>
      <c r="R52" s="7" t="n">
        <f aca="false">E52+I52+M52+Q52</f>
        <v>63.6</v>
      </c>
      <c r="S52" s="9" t="n">
        <f aca="false">R52/12</f>
        <v>5.3</v>
      </c>
    </row>
    <row r="53" customFormat="false" ht="15" hidden="false" customHeight="false" outlineLevel="0" collapsed="false">
      <c r="A53" s="2" t="s">
        <v>96</v>
      </c>
      <c r="B53" s="9" t="n">
        <f aca="false">B36</f>
        <v>6.89</v>
      </c>
      <c r="C53" s="9" t="n">
        <f aca="false">C36</f>
        <v>6.89</v>
      </c>
      <c r="D53" s="9" t="n">
        <f aca="false">D36</f>
        <v>6.89</v>
      </c>
      <c r="E53" s="7" t="n">
        <f aca="false">SUM(B53:D53)</f>
        <v>20.67</v>
      </c>
      <c r="F53" s="9" t="n">
        <f aca="false">F36</f>
        <v>6.95</v>
      </c>
      <c r="G53" s="9" t="n">
        <f aca="false">G36</f>
        <v>7.91</v>
      </c>
      <c r="H53" s="9" t="n">
        <f aca="false">H36</f>
        <v>7.39</v>
      </c>
      <c r="I53" s="7" t="n">
        <f aca="false">SUM(F53:H53)</f>
        <v>22.25</v>
      </c>
      <c r="J53" s="9" t="n">
        <f aca="false">J36</f>
        <v>0</v>
      </c>
      <c r="K53" s="9" t="n">
        <f aca="false">K36</f>
        <v>0</v>
      </c>
      <c r="L53" s="9" t="n">
        <f aca="false">L36</f>
        <v>0</v>
      </c>
      <c r="M53" s="7" t="n">
        <f aca="false">SUM(J53:L53)</f>
        <v>0</v>
      </c>
      <c r="N53" s="9" t="n">
        <f aca="false">N36</f>
        <v>0</v>
      </c>
      <c r="O53" s="9" t="n">
        <f aca="false">O36</f>
        <v>0</v>
      </c>
      <c r="P53" s="9" t="n">
        <f aca="false">P36</f>
        <v>0</v>
      </c>
      <c r="Q53" s="7" t="n">
        <f aca="false">SUM(N53:P53)</f>
        <v>0</v>
      </c>
      <c r="R53" s="7" t="n">
        <f aca="false">E53+I53+M53+Q53</f>
        <v>42.92</v>
      </c>
      <c r="S53" s="9" t="n">
        <f aca="false">R53/12</f>
        <v>3.57666666666667</v>
      </c>
    </row>
    <row r="56" customFormat="false" ht="15" hidden="false" customHeight="false" outlineLevel="0" collapsed="false">
      <c r="A56" s="4" t="s">
        <v>97</v>
      </c>
    </row>
    <row r="57" customFormat="false" ht="15" hidden="false" customHeight="false" outlineLevel="0" collapsed="false">
      <c r="A57" s="5" t="s">
        <v>35</v>
      </c>
      <c r="B57" s="5" t="s">
        <v>36</v>
      </c>
      <c r="C57" s="5" t="s">
        <v>37</v>
      </c>
      <c r="D57" s="5" t="s">
        <v>38</v>
      </c>
      <c r="E57" s="5" t="s">
        <v>39</v>
      </c>
      <c r="F57" s="5" t="s">
        <v>40</v>
      </c>
      <c r="G57" s="5" t="s">
        <v>41</v>
      </c>
      <c r="H57" s="5" t="s">
        <v>42</v>
      </c>
      <c r="I57" s="5" t="s">
        <v>43</v>
      </c>
      <c r="J57" s="5" t="s">
        <v>44</v>
      </c>
      <c r="K57" s="5" t="s">
        <v>45</v>
      </c>
      <c r="L57" s="5" t="s">
        <v>46</v>
      </c>
      <c r="M57" s="5" t="s">
        <v>47</v>
      </c>
      <c r="N57" s="5" t="s">
        <v>48</v>
      </c>
      <c r="O57" s="5" t="s">
        <v>49</v>
      </c>
      <c r="P57" s="5" t="s">
        <v>50</v>
      </c>
      <c r="Q57" s="5" t="s">
        <v>51</v>
      </c>
      <c r="R57" s="5" t="s">
        <v>52</v>
      </c>
    </row>
    <row r="58" customFormat="false" ht="15" hidden="false" customHeight="false" outlineLevel="0" collapsed="false">
      <c r="A58" s="2" t="s">
        <v>98</v>
      </c>
      <c r="B58" s="9" t="n">
        <f aca="false">SUMIFS(IN_Contrib!$G$4:$G$2000,IN_Contrib!$B$4:$B$2000,IN_HO!$C$2,IN_Contrib!$C$4:$C$2000,"April")</f>
        <v>39.086</v>
      </c>
      <c r="C58" s="9" t="n">
        <f aca="false">SUMIFS(IN_Contrib!$G$4:$G$2000,IN_Contrib!$B$4:$B$2000,IN_HO!$C$2,IN_Contrib!$C$4:$C$2000,"May")</f>
        <v>91.311</v>
      </c>
      <c r="D58" s="9" t="n">
        <f aca="false">SUMIFS(IN_Contrib!$G$4:$G$2000,IN_Contrib!$B$4:$B$2000,IN_HO!$C$2,IN_Contrib!$C$4:$C$2000,"June")</f>
        <v>92.135</v>
      </c>
      <c r="E58" s="7" t="n">
        <f aca="false">SUM(B58:D58)</f>
        <v>222.532</v>
      </c>
      <c r="F58" s="9" t="n">
        <f aca="false">SUMIFS(IN_Contrib!$G$4:$G$2000,IN_Contrib!$B$4:$B$2000,IN_HO!$C$2,IN_Contrib!$C$4:$C$2000,"July")</f>
        <v>106.77</v>
      </c>
      <c r="G58" s="9" t="n">
        <f aca="false">SUMIFS(IN_Contrib!$G$4:$G$2000,IN_Contrib!$B$4:$B$2000,IN_HO!$C$2,IN_Contrib!$C$4:$C$2000,"August")</f>
        <v>85.14</v>
      </c>
      <c r="H58" s="9" t="n">
        <f aca="false">SUMIFS(IN_Contrib!$G$4:$G$2000,IN_Contrib!$B$4:$B$2000,IN_HO!$C$2,IN_Contrib!$C$4:$C$2000,"September")</f>
        <v>113.84</v>
      </c>
      <c r="I58" s="7" t="n">
        <f aca="false">SUM(F58:H58)</f>
        <v>305.75</v>
      </c>
      <c r="J58" s="9" t="n">
        <f aca="false">SUMIFS(IN_Contrib!$G$4:$G$2000,IN_Contrib!$B$4:$B$2000,IN_HO!$C$2,IN_Contrib!$C$4:$C$2000,"October")</f>
        <v>0</v>
      </c>
      <c r="K58" s="9" t="n">
        <f aca="false">SUMIFS(IN_Contrib!$G$4:$G$2000,IN_Contrib!$B$4:$B$2000,IN_HO!$C$2,IN_Contrib!$C$4:$C$2000,"November")</f>
        <v>0</v>
      </c>
      <c r="L58" s="9" t="n">
        <f aca="false">SUMIFS(IN_Contrib!$G$4:$G$2000,IN_Contrib!$B$4:$B$2000,IN_HO!$C$2,IN_Contrib!$C$4:$C$2000,"December")</f>
        <v>0</v>
      </c>
      <c r="M58" s="7" t="n">
        <f aca="false">SUM(J58:L58)</f>
        <v>0</v>
      </c>
      <c r="N58" s="9" t="n">
        <f aca="false">SUMIFS(IN_Contrib!$G$4:$G$2000,IN_Contrib!$B$4:$B$2000,IN_HO!$C$2,IN_Contrib!$C$4:$C$2000,"January")</f>
        <v>0</v>
      </c>
      <c r="O58" s="9" t="n">
        <f aca="false">SUMIFS(IN_Contrib!$G$4:$G$2000,IN_Contrib!$B$4:$B$2000,IN_HO!$C$2,IN_Contrib!$C$4:$C$2000,"February")</f>
        <v>0</v>
      </c>
      <c r="P58" s="9" t="n">
        <f aca="false">SUMIFS(IN_Contrib!$G$4:$G$2000,IN_Contrib!$B$4:$B$2000,IN_HO!$C$2,IN_Contrib!$C$4:$C$2000,"March")</f>
        <v>0</v>
      </c>
      <c r="Q58" s="7" t="n">
        <f aca="false">SUM(N58:P58)</f>
        <v>0</v>
      </c>
      <c r="R58" s="7" t="n">
        <f aca="false">E58+I58+M58+Q58</f>
        <v>528.282</v>
      </c>
    </row>
    <row r="59" customFormat="false" ht="15" hidden="false" customHeight="false" outlineLevel="0" collapsed="false">
      <c r="A59" s="2" t="s">
        <v>99</v>
      </c>
      <c r="B59" s="9" t="n">
        <f aca="false">SUMIFS(IN_Contrib!$AD$4:$AD$2000,IN_Contrib!$B$4:$B$2000,IN_HO!$C$2,IN_Contrib!$C$4:$C$2000,"April")</f>
        <v>5.478</v>
      </c>
      <c r="C59" s="9" t="n">
        <f aca="false">SUMIFS(IN_Contrib!$AD$4:$AD$2000,IN_Contrib!$B$4:$B$2000,IN_HO!$C$2,IN_Contrib!$C$4:$C$2000,"May")</f>
        <v>4.942</v>
      </c>
      <c r="D59" s="9" t="n">
        <f aca="false">SUMIFS(IN_Contrib!$AD$4:$AD$2000,IN_Contrib!$B$4:$B$2000,IN_HO!$C$2,IN_Contrib!$C$4:$C$2000,"June")</f>
        <v>1.0485</v>
      </c>
      <c r="E59" s="7" t="n">
        <f aca="false">SUM(B59:D59)</f>
        <v>11.4685</v>
      </c>
      <c r="F59" s="9" t="n">
        <f aca="false">SUMIFS(IN_Contrib!$AD$4:$AD$2000,IN_Contrib!$B$4:$B$2000,IN_HO!$C$2,IN_Contrib!$C$4:$C$2000,"July")</f>
        <v>6.4248</v>
      </c>
      <c r="G59" s="9" t="n">
        <f aca="false">SUMIFS(IN_Contrib!$AD$4:$AD$2000,IN_Contrib!$B$4:$B$2000,IN_HO!$C$2,IN_Contrib!$C$4:$C$2000,"August")</f>
        <v>7.782</v>
      </c>
      <c r="H59" s="9" t="n">
        <f aca="false">SUMIFS(IN_Contrib!$AD$4:$AD$2000,IN_Contrib!$B$4:$B$2000,IN_HO!$C$2,IN_Contrib!$C$4:$C$2000,"September")</f>
        <v>8.51899</v>
      </c>
      <c r="I59" s="7" t="n">
        <f aca="false">SUM(F59:H59)</f>
        <v>22.72579</v>
      </c>
      <c r="J59" s="9" t="n">
        <f aca="false">SUMIFS(IN_Contrib!$AD$4:$AD$2000,IN_Contrib!$B$4:$B$2000,IN_HO!$C$2,IN_Contrib!$C$4:$C$2000,"October")</f>
        <v>0</v>
      </c>
      <c r="K59" s="9" t="n">
        <f aca="false">SUMIFS(IN_Contrib!$AD$4:$AD$2000,IN_Contrib!$B$4:$B$2000,IN_HO!$C$2,IN_Contrib!$C$4:$C$2000,"November")</f>
        <v>0</v>
      </c>
      <c r="L59" s="9" t="n">
        <f aca="false">SUMIFS(IN_Contrib!$AD$4:$AD$2000,IN_Contrib!$B$4:$B$2000,IN_HO!$C$2,IN_Contrib!$C$4:$C$2000,"December")</f>
        <v>0</v>
      </c>
      <c r="M59" s="7" t="n">
        <f aca="false">SUM(J59:L59)</f>
        <v>0</v>
      </c>
      <c r="N59" s="9" t="n">
        <f aca="false">SUMIFS(IN_Contrib!$AD$4:$AD$2000,IN_Contrib!$B$4:$B$2000,IN_HO!$C$2,IN_Contrib!$C$4:$C$2000,"January")</f>
        <v>0</v>
      </c>
      <c r="O59" s="9" t="n">
        <f aca="false">SUMIFS(IN_Contrib!$AD$4:$AD$2000,IN_Contrib!$B$4:$B$2000,IN_HO!$C$2,IN_Contrib!$C$4:$C$2000,"February")</f>
        <v>0</v>
      </c>
      <c r="P59" s="9" t="n">
        <f aca="false">SUMIFS(IN_Contrib!$AD$4:$AD$2000,IN_Contrib!$B$4:$B$2000,IN_HO!$C$2,IN_Contrib!$C$4:$C$2000,"March")</f>
        <v>0</v>
      </c>
      <c r="Q59" s="7" t="n">
        <f aca="false">SUM(N59:P59)</f>
        <v>0</v>
      </c>
      <c r="R59" s="7" t="n">
        <f aca="false">E59+I59+M59+Q59</f>
        <v>34.19429</v>
      </c>
    </row>
    <row r="60" customFormat="false" ht="15" hidden="false" customHeight="false" outlineLevel="0" collapsed="false">
      <c r="A60" s="2" t="s">
        <v>100</v>
      </c>
      <c r="B60" s="9" t="n">
        <f aca="false">SUMIFS(IN_Contrib!$Z$4:$Z$2000,IN_Contrib!$B$4:$B$2000,IN_HO!$C$2,IN_Contrib!$C$4:$C$2000,"April")</f>
        <v>20.96</v>
      </c>
      <c r="C60" s="9" t="n">
        <f aca="false">SUMIFS(IN_Contrib!$Z$4:$Z$2000,IN_Contrib!$B$4:$B$2000,IN_HO!$C$2,IN_Contrib!$C$4:$C$2000,"May")</f>
        <v>47.26</v>
      </c>
      <c r="D60" s="9" t="n">
        <f aca="false">SUMIFS(IN_Contrib!$Z$4:$Z$2000,IN_Contrib!$B$4:$B$2000,IN_HO!$C$2,IN_Contrib!$C$4:$C$2000,"June")</f>
        <v>55.89</v>
      </c>
      <c r="E60" s="7" t="n">
        <f aca="false">SUM(B60:D60)</f>
        <v>124.11</v>
      </c>
      <c r="F60" s="9" t="n">
        <f aca="false">SUMIFS(IN_Contrib!$Z$4:$Z$2000,IN_Contrib!$B$4:$B$2000,IN_HO!$C$2,IN_Contrib!$C$4:$C$2000,"July")</f>
        <v>57.05</v>
      </c>
      <c r="G60" s="9" t="n">
        <f aca="false">SUMIFS(IN_Contrib!$Z$4:$Z$2000,IN_Contrib!$B$4:$B$2000,IN_HO!$C$2,IN_Contrib!$C$4:$C$2000,"August")</f>
        <v>47.98</v>
      </c>
      <c r="H60" s="9" t="n">
        <f aca="false">SUMIFS(IN_Contrib!$Z$4:$Z$2000,IN_Contrib!$B$4:$B$2000,IN_HO!$C$2,IN_Contrib!$C$4:$C$2000,"September")</f>
        <v>72.02</v>
      </c>
      <c r="I60" s="7" t="n">
        <f aca="false">SUM(F60:H60)</f>
        <v>177.05</v>
      </c>
      <c r="J60" s="9" t="n">
        <f aca="false">SUMIFS(IN_Contrib!$Z$4:$Z$2000,IN_Contrib!$B$4:$B$2000,IN_HO!$C$2,IN_Contrib!$C$4:$C$2000,"October")</f>
        <v>0</v>
      </c>
      <c r="K60" s="9" t="n">
        <f aca="false">SUMIFS(IN_Contrib!$Z$4:$Z$2000,IN_Contrib!$B$4:$B$2000,IN_HO!$C$2,IN_Contrib!$C$4:$C$2000,"November")</f>
        <v>0</v>
      </c>
      <c r="L60" s="9" t="n">
        <f aca="false">SUMIFS(IN_Contrib!$Z$4:$Z$2000,IN_Contrib!$B$4:$B$2000,IN_HO!$C$2,IN_Contrib!$C$4:$C$2000,"December")</f>
        <v>0</v>
      </c>
      <c r="M60" s="7" t="n">
        <f aca="false">SUM(J60:L60)</f>
        <v>0</v>
      </c>
      <c r="N60" s="9" t="n">
        <f aca="false">SUMIFS(IN_Contrib!$Z$4:$Z$2000,IN_Contrib!$B$4:$B$2000,IN_HO!$C$2,IN_Contrib!$C$4:$C$2000,"January")</f>
        <v>0</v>
      </c>
      <c r="O60" s="9" t="n">
        <f aca="false">SUMIFS(IN_Contrib!$Z$4:$Z$2000,IN_Contrib!$B$4:$B$2000,IN_HO!$C$2,IN_Contrib!$C$4:$C$2000,"February")</f>
        <v>0</v>
      </c>
      <c r="P60" s="9" t="n">
        <f aca="false">SUMIFS(IN_Contrib!$Z$4:$Z$2000,IN_Contrib!$B$4:$B$2000,IN_HO!$C$2,IN_Contrib!$C$4:$C$2000,"March")</f>
        <v>0</v>
      </c>
      <c r="Q60" s="7" t="n">
        <f aca="false">SUM(N60:P60)</f>
        <v>0</v>
      </c>
      <c r="R60" s="7" t="n">
        <f aca="false">E60+I60+M60+Q60</f>
        <v>301.16</v>
      </c>
    </row>
    <row r="61" customFormat="false" ht="15" hidden="false" customHeight="false" outlineLevel="0" collapsed="false">
      <c r="A61" s="2" t="s">
        <v>101</v>
      </c>
      <c r="B61" s="9" t="n">
        <f aca="false">SUMIFS(IN_Contrib!$AC$4:$AC$2000,IN_Contrib!$B$4:$B$2000,IN_HO!$C$2,IN_Contrib!$C$4:$C$2000,"April")</f>
        <v>3.57</v>
      </c>
      <c r="C61" s="9" t="n">
        <f aca="false">SUMIFS(IN_Contrib!$AC$4:$AC$2000,IN_Contrib!$B$4:$B$2000,IN_HO!$C$2,IN_Contrib!$C$4:$C$2000,"May")</f>
        <v>3.89</v>
      </c>
      <c r="D61" s="9" t="n">
        <f aca="false">SUMIFS(IN_Contrib!$AC$4:$AC$2000,IN_Contrib!$B$4:$B$2000,IN_HO!$C$2,IN_Contrib!$C$4:$C$2000,"June")</f>
        <v>5.1</v>
      </c>
      <c r="E61" s="7" t="n">
        <f aca="false">SUM(B61:D61)</f>
        <v>12.56</v>
      </c>
      <c r="F61" s="9" t="n">
        <f aca="false">SUMIFS(IN_Contrib!$AC$4:$AC$2000,IN_Contrib!$B$4:$B$2000,IN_HO!$C$2,IN_Contrib!$C$4:$C$2000,"July")</f>
        <v>6.16</v>
      </c>
      <c r="G61" s="9" t="n">
        <f aca="false">SUMIFS(IN_Contrib!$AC$4:$AC$2000,IN_Contrib!$B$4:$B$2000,IN_HO!$C$2,IN_Contrib!$C$4:$C$2000,"August")</f>
        <v>6.32</v>
      </c>
      <c r="H61" s="9" t="n">
        <f aca="false">SUMIFS(IN_Contrib!$AC$4:$AC$2000,IN_Contrib!$B$4:$B$2000,IN_HO!$C$2,IN_Contrib!$C$4:$C$2000,"September")</f>
        <v>6.14</v>
      </c>
      <c r="I61" s="7" t="n">
        <f aca="false">SUM(F61:H61)</f>
        <v>18.62</v>
      </c>
      <c r="J61" s="9" t="n">
        <f aca="false">SUMIFS(IN_Contrib!$AC$4:$AC$2000,IN_Contrib!$B$4:$B$2000,IN_HO!$C$2,IN_Contrib!$C$4:$C$2000,"October")</f>
        <v>0</v>
      </c>
      <c r="K61" s="9" t="n">
        <f aca="false">SUMIFS(IN_Contrib!$AC$4:$AC$2000,IN_Contrib!$B$4:$B$2000,IN_HO!$C$2,IN_Contrib!$C$4:$C$2000,"November")</f>
        <v>0</v>
      </c>
      <c r="L61" s="9" t="n">
        <f aca="false">SUMIFS(IN_Contrib!$AC$4:$AC$2000,IN_Contrib!$B$4:$B$2000,IN_HO!$C$2,IN_Contrib!$C$4:$C$2000,"December")</f>
        <v>0</v>
      </c>
      <c r="M61" s="7" t="n">
        <f aca="false">SUM(J61:L61)</f>
        <v>0</v>
      </c>
      <c r="N61" s="9" t="n">
        <f aca="false">SUMIFS(IN_Contrib!$AC$4:$AC$2000,IN_Contrib!$B$4:$B$2000,IN_HO!$C$2,IN_Contrib!$C$4:$C$2000,"January")</f>
        <v>0</v>
      </c>
      <c r="O61" s="9" t="n">
        <f aca="false">SUMIFS(IN_Contrib!$AC$4:$AC$2000,IN_Contrib!$B$4:$B$2000,IN_HO!$C$2,IN_Contrib!$C$4:$C$2000,"February")</f>
        <v>0</v>
      </c>
      <c r="P61" s="9" t="n">
        <f aca="false">SUMIFS(IN_Contrib!$AC$4:$AC$2000,IN_Contrib!$B$4:$B$2000,IN_HO!$C$2,IN_Contrib!$C$4:$C$2000,"March")</f>
        <v>0</v>
      </c>
      <c r="Q61" s="7" t="n">
        <f aca="false">SUM(N61:P61)</f>
        <v>0</v>
      </c>
      <c r="R61" s="7" t="n">
        <f aca="false">E61+I61+M61+Q61</f>
        <v>31.18</v>
      </c>
    </row>
    <row r="62" customFormat="false" ht="15" hidden="false" customHeight="false" outlineLevel="0" collapsed="false">
      <c r="A62" s="10" t="s">
        <v>102</v>
      </c>
      <c r="B62" s="9" t="n">
        <f aca="false">B45-B58</f>
        <v>-5.526</v>
      </c>
      <c r="C62" s="9" t="n">
        <f aca="false">C45-C58</f>
        <v>-6.691</v>
      </c>
      <c r="D62" s="9" t="n">
        <f aca="false">D45-D58</f>
        <v>-9.13500000000001</v>
      </c>
      <c r="E62" s="9" t="n">
        <f aca="false">E45-E58</f>
        <v>-21.352</v>
      </c>
      <c r="F62" s="9" t="n">
        <f aca="false">F45-F58</f>
        <v>-22.15</v>
      </c>
      <c r="G62" s="9" t="n">
        <f aca="false">G45-G58</f>
        <v>-7.7</v>
      </c>
      <c r="H62" s="9" t="n">
        <f aca="false">H45-H58</f>
        <v>-8.36</v>
      </c>
      <c r="I62" s="9" t="n">
        <f aca="false">I45-I58</f>
        <v>-38.21</v>
      </c>
      <c r="J62" s="9" t="n">
        <f aca="false">J45-J58</f>
        <v>0</v>
      </c>
      <c r="K62" s="9" t="n">
        <f aca="false">K45-K58</f>
        <v>0</v>
      </c>
      <c r="L62" s="9" t="n">
        <f aca="false">L45-L58</f>
        <v>0</v>
      </c>
      <c r="M62" s="9" t="n">
        <f aca="false">M45-M58</f>
        <v>0</v>
      </c>
      <c r="N62" s="9" t="n">
        <f aca="false">N45-N58</f>
        <v>0</v>
      </c>
      <c r="O62" s="9" t="n">
        <f aca="false">O45-O58</f>
        <v>0</v>
      </c>
      <c r="P62" s="9" t="n">
        <f aca="false">P45-P58</f>
        <v>0</v>
      </c>
      <c r="Q62" s="9" t="n">
        <f aca="false">Q45-Q58</f>
        <v>0</v>
      </c>
      <c r="R62" s="9" t="n">
        <f aca="false">R45-R58</f>
        <v>-59.5619999999999</v>
      </c>
    </row>
    <row r="63" customFormat="false" ht="15" hidden="false" customHeight="false" outlineLevel="0" collapsed="false">
      <c r="A63" s="10" t="s">
        <v>103</v>
      </c>
      <c r="B63" s="9" t="n">
        <f aca="false">B47-B59</f>
        <v>0.252000000000001</v>
      </c>
      <c r="C63" s="9" t="n">
        <f aca="false">C47-C59</f>
        <v>1.958</v>
      </c>
      <c r="D63" s="9" t="n">
        <f aca="false">D47-D59</f>
        <v>8.3415</v>
      </c>
      <c r="E63" s="9" t="n">
        <f aca="false">E47-E59</f>
        <v>10.5515</v>
      </c>
      <c r="F63" s="9" t="n">
        <f aca="false">F47-F59</f>
        <v>0.475200000000001</v>
      </c>
      <c r="G63" s="9" t="n">
        <f aca="false">G47-G59</f>
        <v>1.378</v>
      </c>
      <c r="H63" s="9" t="n">
        <f aca="false">H47-H59</f>
        <v>0.521009999999999</v>
      </c>
      <c r="I63" s="9" t="n">
        <f aca="false">I47-I59</f>
        <v>2.37421</v>
      </c>
      <c r="J63" s="9" t="n">
        <f aca="false">J47-J59</f>
        <v>0</v>
      </c>
      <c r="K63" s="9" t="n">
        <f aca="false">K47-K59</f>
        <v>0</v>
      </c>
      <c r="L63" s="9" t="n">
        <f aca="false">L47-L59</f>
        <v>0</v>
      </c>
      <c r="M63" s="9" t="n">
        <f aca="false">M47-M59</f>
        <v>0</v>
      </c>
      <c r="N63" s="9" t="n">
        <f aca="false">N47-N59</f>
        <v>0</v>
      </c>
      <c r="O63" s="9" t="n">
        <f aca="false">O47-O59</f>
        <v>0</v>
      </c>
      <c r="P63" s="9" t="n">
        <f aca="false">P47-P59</f>
        <v>0</v>
      </c>
      <c r="Q63" s="9" t="n">
        <f aca="false">Q47-Q59</f>
        <v>0</v>
      </c>
      <c r="R63" s="9" t="n">
        <f aca="false">R47-R59</f>
        <v>12.92571</v>
      </c>
    </row>
    <row r="64" customFormat="false" ht="15" hidden="false" customHeight="false" outlineLevel="0" collapsed="false">
      <c r="A64" s="10" t="s">
        <v>104</v>
      </c>
      <c r="B64" s="9" t="n">
        <f aca="false">B22-B60</f>
        <v>-7.89999999999998</v>
      </c>
      <c r="C64" s="9" t="n">
        <f aca="false">C22-C60</f>
        <v>-11.41</v>
      </c>
      <c r="D64" s="9" t="n">
        <f aca="false">D22-D60</f>
        <v>-4.61000000000003</v>
      </c>
      <c r="E64" s="9" t="n">
        <f aca="false">E22-E60</f>
        <v>-23.92</v>
      </c>
      <c r="F64" s="9" t="n">
        <f aca="false">F22-F60</f>
        <v>1.20999999999999</v>
      </c>
      <c r="G64" s="9" t="n">
        <f aca="false">G22-G60</f>
        <v>2.52999999999999</v>
      </c>
      <c r="H64" s="9" t="n">
        <f aca="false">H22-H60</f>
        <v>-5.17999999999999</v>
      </c>
      <c r="I64" s="9" t="n">
        <f aca="false">I22-I60</f>
        <v>-1.44000000000003</v>
      </c>
      <c r="J64" s="9" t="n">
        <f aca="false">J22-J60</f>
        <v>0</v>
      </c>
      <c r="K64" s="9" t="n">
        <f aca="false">K22-K60</f>
        <v>0</v>
      </c>
      <c r="L64" s="9" t="n">
        <f aca="false">L22-L60</f>
        <v>0</v>
      </c>
      <c r="M64" s="9" t="n">
        <f aca="false">M22-M60</f>
        <v>0</v>
      </c>
      <c r="N64" s="9" t="n">
        <f aca="false">N22-N60</f>
        <v>0</v>
      </c>
      <c r="O64" s="9" t="n">
        <f aca="false">O22-O60</f>
        <v>0</v>
      </c>
      <c r="P64" s="9" t="n">
        <f aca="false">P22-P60</f>
        <v>0</v>
      </c>
      <c r="Q64" s="9" t="n">
        <f aca="false">Q22-Q60</f>
        <v>0</v>
      </c>
      <c r="R64" s="9" t="n">
        <f aca="false">R22-R60</f>
        <v>-25.3600000000001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14" min="3" style="0" width="11"/>
  </cols>
  <sheetData>
    <row r="1" customFormat="false" ht="15" hidden="false" customHeight="false" outlineLevel="0" collapsed="false">
      <c r="A1" s="11" t="s">
        <v>105</v>
      </c>
    </row>
    <row r="3" customFormat="false" ht="15" hidden="false" customHeight="false" outlineLevel="0" collapsed="false">
      <c r="A3" s="5" t="s">
        <v>106</v>
      </c>
      <c r="B3" s="5" t="s">
        <v>107</v>
      </c>
      <c r="C3" s="5" t="s">
        <v>108</v>
      </c>
      <c r="D3" s="5" t="s">
        <v>109</v>
      </c>
      <c r="E3" s="5" t="s">
        <v>110</v>
      </c>
      <c r="F3" s="5" t="s">
        <v>111</v>
      </c>
      <c r="G3" s="5" t="s">
        <v>112</v>
      </c>
      <c r="H3" s="5" t="s">
        <v>113</v>
      </c>
      <c r="I3" s="5" t="s">
        <v>114</v>
      </c>
      <c r="J3" s="5" t="s">
        <v>115</v>
      </c>
      <c r="K3" s="5" t="s">
        <v>116</v>
      </c>
      <c r="L3" s="5" t="s">
        <v>117</v>
      </c>
      <c r="M3" s="5" t="s">
        <v>118</v>
      </c>
      <c r="N3" s="5" t="s">
        <v>119</v>
      </c>
    </row>
    <row r="5" customFormat="false" ht="15" hidden="false" customHeight="false" outlineLevel="0" collapsed="false">
      <c r="A5" s="2" t="s">
        <v>120</v>
      </c>
      <c r="B5" s="4" t="s">
        <v>121</v>
      </c>
      <c r="C5" s="7" t="n">
        <f aca="false">SUM(C6:C8)</f>
        <v>49.71</v>
      </c>
      <c r="D5" s="7" t="n">
        <f aca="false">SUM(D6:D8)</f>
        <v>159.27</v>
      </c>
      <c r="E5" s="7" t="n">
        <f aca="false">SUM(E6:E8)</f>
        <v>151.43</v>
      </c>
      <c r="F5" s="7" t="n">
        <f aca="false">SUM(F6:F8)</f>
        <v>157.21</v>
      </c>
      <c r="G5" s="7" t="n">
        <f aca="false">SUM(G6:G8)</f>
        <v>107.64</v>
      </c>
      <c r="H5" s="7" t="n">
        <f aca="false">SUM(H6:H8)</f>
        <v>171.02</v>
      </c>
      <c r="I5" s="7" t="n">
        <f aca="false">SUM(I6:I8)</f>
        <v>0</v>
      </c>
      <c r="J5" s="7" t="n">
        <f aca="false">SUM(J6:J8)</f>
        <v>0</v>
      </c>
      <c r="K5" s="7" t="n">
        <f aca="false">SUM(K6:K8)</f>
        <v>0</v>
      </c>
      <c r="L5" s="7" t="n">
        <f aca="false">SUM(L6:L8)</f>
        <v>0</v>
      </c>
      <c r="M5" s="7" t="n">
        <f aca="false">SUM(M6:M8)</f>
        <v>0</v>
      </c>
      <c r="N5" s="7" t="n">
        <f aca="false">SUM(N6:N8)</f>
        <v>0</v>
      </c>
    </row>
    <row r="6" customFormat="false" ht="15" hidden="false" customHeight="false" outlineLevel="0" collapsed="false">
      <c r="A6" s="2"/>
      <c r="B6" s="2" t="s">
        <v>122</v>
      </c>
      <c r="C6" s="12" t="n">
        <v>37.43</v>
      </c>
      <c r="D6" s="12" t="n">
        <v>144.29</v>
      </c>
      <c r="E6" s="12" t="n">
        <v>135.24</v>
      </c>
      <c r="F6" s="12" t="n">
        <v>134.88</v>
      </c>
      <c r="G6" s="12" t="n">
        <v>84.93</v>
      </c>
      <c r="H6" s="12" t="n">
        <v>148.59</v>
      </c>
      <c r="I6" s="12"/>
      <c r="J6" s="12"/>
      <c r="K6" s="12"/>
      <c r="L6" s="12"/>
      <c r="M6" s="12"/>
      <c r="N6" s="12"/>
    </row>
    <row r="7" customFormat="false" ht="15" hidden="false" customHeight="false" outlineLevel="0" collapsed="false">
      <c r="A7" s="2"/>
      <c r="B7" s="2" t="s">
        <v>123</v>
      </c>
      <c r="C7" s="12" t="n">
        <v>11.75</v>
      </c>
      <c r="D7" s="12" t="n">
        <v>14.9</v>
      </c>
      <c r="E7" s="12" t="n">
        <v>15.86</v>
      </c>
      <c r="F7" s="12" t="n">
        <v>21.66</v>
      </c>
      <c r="G7" s="12" t="n">
        <v>22.1</v>
      </c>
      <c r="H7" s="12" t="n">
        <v>21.92</v>
      </c>
      <c r="I7" s="12"/>
      <c r="J7" s="12"/>
      <c r="K7" s="12"/>
      <c r="L7" s="12"/>
      <c r="M7" s="12"/>
      <c r="N7" s="12"/>
    </row>
    <row r="8" customFormat="false" ht="15" hidden="false" customHeight="false" outlineLevel="0" collapsed="false">
      <c r="A8" s="2"/>
      <c r="B8" s="2" t="s">
        <v>124</v>
      </c>
      <c r="C8" s="12" t="n">
        <v>0.53</v>
      </c>
      <c r="D8" s="12" t="n">
        <v>0.08</v>
      </c>
      <c r="E8" s="12" t="n">
        <v>0.33</v>
      </c>
      <c r="F8" s="12" t="n">
        <v>0.67</v>
      </c>
      <c r="G8" s="12" t="n">
        <v>0.61</v>
      </c>
      <c r="H8" s="12" t="n">
        <v>0.51</v>
      </c>
      <c r="I8" s="12"/>
      <c r="J8" s="12"/>
      <c r="K8" s="12"/>
      <c r="L8" s="12"/>
      <c r="M8" s="12"/>
      <c r="N8" s="12"/>
    </row>
    <row r="9" customFormat="false" ht="15" hidden="false" customHeight="false" outlineLevel="0" collapsed="false">
      <c r="A9" s="2" t="s">
        <v>125</v>
      </c>
      <c r="B9" s="4" t="s">
        <v>126</v>
      </c>
      <c r="C9" s="7" t="n">
        <f aca="false">SUM(C10:C16)</f>
        <v>9.1</v>
      </c>
      <c r="D9" s="7" t="n">
        <f aca="false">SUM(D10:D16)</f>
        <v>9.48</v>
      </c>
      <c r="E9" s="7" t="n">
        <f aca="false">SUM(E10:E16)</f>
        <v>10.12</v>
      </c>
      <c r="F9" s="7" t="n">
        <f aca="false">SUM(F10:F16)</f>
        <v>10.73</v>
      </c>
      <c r="G9" s="7" t="n">
        <f aca="false">SUM(G10:G16)</f>
        <v>9.55</v>
      </c>
      <c r="H9" s="7" t="n">
        <f aca="false">SUM(H10:H16)</f>
        <v>10.67</v>
      </c>
      <c r="I9" s="7" t="n">
        <f aca="false">SUM(I10:I16)</f>
        <v>0</v>
      </c>
      <c r="J9" s="7" t="n">
        <f aca="false">SUM(J10:J16)</f>
        <v>0</v>
      </c>
      <c r="K9" s="7" t="n">
        <f aca="false">SUM(K10:K16)</f>
        <v>0</v>
      </c>
      <c r="L9" s="7" t="n">
        <f aca="false">SUM(L10:L16)</f>
        <v>0</v>
      </c>
      <c r="M9" s="7" t="n">
        <f aca="false">SUM(M10:M16)</f>
        <v>0</v>
      </c>
      <c r="N9" s="7" t="n">
        <f aca="false">SUM(N10:N16)</f>
        <v>0</v>
      </c>
    </row>
    <row r="10" customFormat="false" ht="15" hidden="false" customHeight="false" outlineLevel="0" collapsed="false">
      <c r="A10" s="2"/>
      <c r="B10" s="2" t="s">
        <v>127</v>
      </c>
      <c r="C10" s="12" t="n">
        <v>3.76</v>
      </c>
      <c r="D10" s="12" t="n">
        <v>3.95</v>
      </c>
      <c r="E10" s="12" t="n">
        <v>3.87</v>
      </c>
      <c r="F10" s="12" t="n">
        <v>4.5</v>
      </c>
      <c r="G10" s="12" t="n">
        <v>3.54</v>
      </c>
      <c r="H10" s="12" t="n">
        <v>4.43</v>
      </c>
      <c r="I10" s="12"/>
      <c r="J10" s="12"/>
      <c r="K10" s="12"/>
      <c r="L10" s="12"/>
      <c r="M10" s="12"/>
      <c r="N10" s="12"/>
    </row>
    <row r="11" customFormat="false" ht="15" hidden="false" customHeight="false" outlineLevel="0" collapsed="false">
      <c r="A11" s="2"/>
      <c r="B11" s="2" t="s">
        <v>128</v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/>
      <c r="J11" s="12"/>
      <c r="K11" s="12"/>
      <c r="L11" s="12"/>
      <c r="M11" s="12"/>
      <c r="N11" s="12"/>
    </row>
    <row r="12" customFormat="false" ht="15" hidden="false" customHeight="false" outlineLevel="0" collapsed="false">
      <c r="A12" s="2"/>
      <c r="B12" s="2" t="s">
        <v>129</v>
      </c>
      <c r="C12" s="12" t="n">
        <v>3.99</v>
      </c>
      <c r="D12" s="12" t="n">
        <v>3.97</v>
      </c>
      <c r="E12" s="12" t="n">
        <v>4.18</v>
      </c>
      <c r="F12" s="12" t="n">
        <v>4.35</v>
      </c>
      <c r="G12" s="12" t="n">
        <v>4.37</v>
      </c>
      <c r="H12" s="12" t="n">
        <v>4.7</v>
      </c>
      <c r="I12" s="12"/>
      <c r="J12" s="12"/>
      <c r="K12" s="12"/>
      <c r="L12" s="12"/>
      <c r="M12" s="12"/>
      <c r="N12" s="12"/>
    </row>
    <row r="13" customFormat="false" ht="15" hidden="false" customHeight="false" outlineLevel="0" collapsed="false">
      <c r="A13" s="2"/>
      <c r="B13" s="2" t="s">
        <v>130</v>
      </c>
      <c r="C13" s="12" t="n">
        <v>0.55</v>
      </c>
      <c r="D13" s="12" t="n">
        <v>0.76</v>
      </c>
      <c r="E13" s="12" t="n">
        <v>0.7</v>
      </c>
      <c r="F13" s="12" t="n">
        <v>0.9</v>
      </c>
      <c r="G13" s="12" t="n">
        <v>0.89</v>
      </c>
      <c r="H13" s="12" t="n">
        <v>0.79</v>
      </c>
      <c r="I13" s="12"/>
      <c r="J13" s="12"/>
      <c r="K13" s="12"/>
      <c r="L13" s="12"/>
      <c r="M13" s="12"/>
      <c r="N13" s="12"/>
    </row>
    <row r="14" customFormat="false" ht="15" hidden="false" customHeight="false" outlineLevel="0" collapsed="false">
      <c r="A14" s="2"/>
      <c r="B14" s="2" t="s">
        <v>131</v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/>
      <c r="J14" s="12"/>
      <c r="K14" s="12"/>
      <c r="L14" s="12"/>
      <c r="M14" s="12"/>
      <c r="N14" s="12"/>
    </row>
    <row r="15" customFormat="false" ht="15" hidden="false" customHeight="false" outlineLevel="0" collapsed="false">
      <c r="A15" s="2"/>
      <c r="B15" s="2" t="s">
        <v>132</v>
      </c>
      <c r="C15" s="12" t="n">
        <v>0</v>
      </c>
      <c r="D15" s="12" t="n">
        <v>0</v>
      </c>
      <c r="E15" s="12" t="n">
        <v>0.22</v>
      </c>
      <c r="F15" s="12" t="n">
        <v>0</v>
      </c>
      <c r="G15" s="12" t="n">
        <v>0</v>
      </c>
      <c r="H15" s="12" t="n">
        <v>0</v>
      </c>
      <c r="I15" s="12"/>
      <c r="J15" s="12"/>
      <c r="K15" s="12"/>
      <c r="L15" s="12"/>
      <c r="M15" s="12"/>
      <c r="N15" s="12"/>
    </row>
    <row r="16" customFormat="false" ht="15" hidden="false" customHeight="false" outlineLevel="0" collapsed="false">
      <c r="A16" s="2"/>
      <c r="B16" s="2" t="s">
        <v>133</v>
      </c>
      <c r="C16" s="12" t="n">
        <v>0.8</v>
      </c>
      <c r="D16" s="12" t="n">
        <v>0.8</v>
      </c>
      <c r="E16" s="12" t="n">
        <v>1.15</v>
      </c>
      <c r="F16" s="12" t="n">
        <v>0.98</v>
      </c>
      <c r="G16" s="12" t="n">
        <v>0.75</v>
      </c>
      <c r="H16" s="12" t="n">
        <v>0.75</v>
      </c>
      <c r="I16" s="12"/>
      <c r="J16" s="12"/>
      <c r="K16" s="12"/>
      <c r="L16" s="12"/>
      <c r="M16" s="12"/>
      <c r="N16" s="12"/>
    </row>
    <row r="17" customFormat="false" ht="15" hidden="false" customHeight="false" outlineLevel="0" collapsed="false">
      <c r="A17" s="2" t="s">
        <v>134</v>
      </c>
      <c r="B17" s="4" t="s">
        <v>135</v>
      </c>
      <c r="C17" s="7" t="n">
        <f aca="false">SUM(C18:C20)</f>
        <v>16.05</v>
      </c>
      <c r="D17" s="7" t="n">
        <f aca="false">SUM(D18:D20)</f>
        <v>21.02</v>
      </c>
      <c r="E17" s="7" t="n">
        <f aca="false">SUM(E18:E20)</f>
        <v>23.34</v>
      </c>
      <c r="F17" s="7" t="n">
        <f aca="false">SUM(F18:F20)</f>
        <v>23.55</v>
      </c>
      <c r="G17" s="7" t="n">
        <f aca="false">SUM(G18:G20)</f>
        <v>24.35</v>
      </c>
      <c r="H17" s="7" t="n">
        <f aca="false">SUM(H18:H20)</f>
        <v>25.62</v>
      </c>
      <c r="I17" s="7" t="n">
        <f aca="false">SUM(I18:I20)</f>
        <v>0</v>
      </c>
      <c r="J17" s="7" t="n">
        <f aca="false">SUM(J18:J20)</f>
        <v>0</v>
      </c>
      <c r="K17" s="7" t="n">
        <f aca="false">SUM(K18:K20)</f>
        <v>0</v>
      </c>
      <c r="L17" s="7" t="n">
        <f aca="false">SUM(L18:L20)</f>
        <v>0</v>
      </c>
      <c r="M17" s="7" t="n">
        <f aca="false">SUM(M18:M20)</f>
        <v>0</v>
      </c>
      <c r="N17" s="7" t="n">
        <f aca="false">SUM(N18:N20)</f>
        <v>0</v>
      </c>
    </row>
    <row r="18" customFormat="false" ht="15" hidden="false" customHeight="false" outlineLevel="0" collapsed="false">
      <c r="A18" s="2"/>
      <c r="B18" s="2" t="s">
        <v>136</v>
      </c>
      <c r="C18" s="12" t="n">
        <v>5.58</v>
      </c>
      <c r="D18" s="12" t="n">
        <v>5.88</v>
      </c>
      <c r="E18" s="12" t="n">
        <v>5.56</v>
      </c>
      <c r="F18" s="12" t="n">
        <v>5.53</v>
      </c>
      <c r="G18" s="12" t="n">
        <v>7.21</v>
      </c>
      <c r="H18" s="12" t="n">
        <v>7.25</v>
      </c>
      <c r="I18" s="12"/>
      <c r="J18" s="12"/>
      <c r="K18" s="12"/>
      <c r="L18" s="12"/>
      <c r="M18" s="12"/>
      <c r="N18" s="12"/>
    </row>
    <row r="19" customFormat="false" ht="15" hidden="false" customHeight="false" outlineLevel="0" collapsed="false">
      <c r="A19" s="2"/>
      <c r="B19" s="2" t="s">
        <v>137</v>
      </c>
      <c r="C19" s="12" t="n">
        <v>10.47</v>
      </c>
      <c r="D19" s="12" t="n">
        <v>15.14</v>
      </c>
      <c r="E19" s="12" t="n">
        <v>17.78</v>
      </c>
      <c r="F19" s="12" t="n">
        <v>18.02</v>
      </c>
      <c r="G19" s="12" t="n">
        <v>17.14</v>
      </c>
      <c r="H19" s="12" t="n">
        <v>18.37</v>
      </c>
      <c r="I19" s="12"/>
      <c r="J19" s="12"/>
      <c r="K19" s="12"/>
      <c r="L19" s="12"/>
      <c r="M19" s="12"/>
      <c r="N19" s="12"/>
    </row>
    <row r="20" customFormat="false" ht="15" hidden="false" customHeight="false" outlineLevel="0" collapsed="false">
      <c r="A20" s="2"/>
      <c r="B20" s="2" t="s">
        <v>138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/>
      <c r="J20" s="12"/>
      <c r="K20" s="12"/>
      <c r="L20" s="12"/>
      <c r="M20" s="12"/>
      <c r="N20" s="12"/>
    </row>
    <row r="21" customFormat="false" ht="15" hidden="false" customHeight="false" outlineLevel="0" collapsed="false">
      <c r="A21" s="2" t="s">
        <v>139</v>
      </c>
      <c r="B21" s="4" t="s">
        <v>140</v>
      </c>
      <c r="C21" s="12" t="n">
        <v>1.38</v>
      </c>
      <c r="D21" s="12" t="n">
        <v>2.28</v>
      </c>
      <c r="E21" s="12" t="n">
        <v>2.31</v>
      </c>
      <c r="F21" s="12" t="n">
        <v>3.41</v>
      </c>
      <c r="G21" s="12" t="n">
        <v>2.28</v>
      </c>
      <c r="H21" s="12" t="n">
        <v>1.97</v>
      </c>
      <c r="I21" s="12"/>
      <c r="J21" s="12"/>
      <c r="K21" s="12"/>
      <c r="L21" s="12"/>
      <c r="M21" s="12"/>
      <c r="N21" s="12"/>
    </row>
    <row r="22" customFormat="false" ht="15" hidden="false" customHeight="false" outlineLevel="0" collapsed="false">
      <c r="A22" s="2" t="s">
        <v>141</v>
      </c>
      <c r="B22" s="4" t="s">
        <v>142</v>
      </c>
      <c r="C22" s="7" t="n">
        <f aca="false">SUM(C23:C31)</f>
        <v>4.62</v>
      </c>
      <c r="D22" s="7" t="n">
        <f aca="false">SUM(D23:D31)</f>
        <v>5.7</v>
      </c>
      <c r="E22" s="7" t="n">
        <f aca="false">SUM(E23:E31)</f>
        <v>5.93</v>
      </c>
      <c r="F22" s="7" t="n">
        <f aca="false">SUM(F23:F31)</f>
        <v>5.44</v>
      </c>
      <c r="G22" s="7" t="n">
        <f aca="false">SUM(G23:G31)</f>
        <v>4.71</v>
      </c>
      <c r="H22" s="7" t="n">
        <f aca="false">SUM(H23:H31)</f>
        <v>10.14</v>
      </c>
      <c r="I22" s="7" t="n">
        <f aca="false">SUM(I23:I31)</f>
        <v>0</v>
      </c>
      <c r="J22" s="7" t="n">
        <f aca="false">SUM(J23:J31)</f>
        <v>0</v>
      </c>
      <c r="K22" s="7" t="n">
        <f aca="false">SUM(K23:K31)</f>
        <v>0</v>
      </c>
      <c r="L22" s="7" t="n">
        <f aca="false">SUM(L23:L31)</f>
        <v>0</v>
      </c>
      <c r="M22" s="7" t="n">
        <f aca="false">SUM(M23:M31)</f>
        <v>0</v>
      </c>
      <c r="N22" s="7" t="n">
        <f aca="false">SUM(N23:N31)</f>
        <v>0</v>
      </c>
    </row>
    <row r="23" customFormat="false" ht="15" hidden="false" customHeight="false" outlineLevel="0" collapsed="false">
      <c r="A23" s="2"/>
      <c r="B23" s="2" t="s">
        <v>143</v>
      </c>
      <c r="C23" s="12" t="n">
        <v>0.03</v>
      </c>
      <c r="D23" s="12" t="n">
        <v>1.34</v>
      </c>
      <c r="E23" s="12" t="n">
        <v>1.38</v>
      </c>
      <c r="F23" s="12" t="n">
        <v>0.46</v>
      </c>
      <c r="G23" s="12" t="n">
        <v>0.22</v>
      </c>
      <c r="H23" s="12" t="n">
        <v>0.51</v>
      </c>
      <c r="I23" s="12"/>
      <c r="J23" s="12"/>
      <c r="K23" s="12"/>
      <c r="L23" s="12"/>
      <c r="M23" s="12"/>
      <c r="N23" s="12"/>
    </row>
    <row r="24" customFormat="false" ht="15" hidden="false" customHeight="false" outlineLevel="0" collapsed="false">
      <c r="A24" s="2"/>
      <c r="B24" s="2" t="s">
        <v>144</v>
      </c>
      <c r="C24" s="12" t="n">
        <v>0</v>
      </c>
      <c r="D24" s="12" t="n">
        <v>0</v>
      </c>
      <c r="E24" s="12" t="n">
        <v>0</v>
      </c>
      <c r="F24" s="12" t="n">
        <v>1.38</v>
      </c>
      <c r="G24" s="12" t="n">
        <v>0</v>
      </c>
      <c r="H24" s="12" t="n">
        <v>2.13</v>
      </c>
      <c r="I24" s="12"/>
      <c r="J24" s="12"/>
      <c r="K24" s="12"/>
      <c r="L24" s="12"/>
      <c r="M24" s="12"/>
      <c r="N24" s="12"/>
    </row>
    <row r="25" customFormat="false" ht="15" hidden="false" customHeight="false" outlineLevel="0" collapsed="false">
      <c r="A25" s="2"/>
      <c r="B25" s="2" t="s">
        <v>145</v>
      </c>
      <c r="C25" s="12" t="n">
        <v>1.46</v>
      </c>
      <c r="D25" s="12" t="n">
        <v>1.5</v>
      </c>
      <c r="E25" s="12" t="n">
        <v>1.45</v>
      </c>
      <c r="F25" s="12" t="n">
        <v>1.55</v>
      </c>
      <c r="G25" s="12" t="n">
        <v>1.46</v>
      </c>
      <c r="H25" s="12" t="n">
        <v>1.46</v>
      </c>
      <c r="I25" s="12"/>
      <c r="J25" s="12"/>
      <c r="K25" s="12"/>
      <c r="L25" s="12"/>
      <c r="M25" s="12"/>
      <c r="N25" s="12"/>
    </row>
    <row r="26" customFormat="false" ht="15" hidden="false" customHeight="false" outlineLevel="0" collapsed="false">
      <c r="A26" s="2"/>
      <c r="B26" s="2" t="s">
        <v>146</v>
      </c>
      <c r="C26" s="12" t="n">
        <v>3.06</v>
      </c>
      <c r="D26" s="12" t="n">
        <v>2.51</v>
      </c>
      <c r="E26" s="12" t="n">
        <v>2.48</v>
      </c>
      <c r="F26" s="12" t="n">
        <v>2</v>
      </c>
      <c r="G26" s="12" t="n">
        <v>2.98</v>
      </c>
      <c r="H26" s="12" t="n">
        <v>2.77</v>
      </c>
      <c r="I26" s="12"/>
      <c r="J26" s="12"/>
      <c r="K26" s="12"/>
      <c r="L26" s="12"/>
      <c r="M26" s="12"/>
      <c r="N26" s="12"/>
    </row>
    <row r="27" customFormat="false" ht="15" hidden="false" customHeight="false" outlineLevel="0" collapsed="false">
      <c r="A27" s="2"/>
      <c r="B27" s="2" t="s">
        <v>147</v>
      </c>
      <c r="C27" s="12" t="n">
        <v>0</v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/>
      <c r="J27" s="12"/>
      <c r="K27" s="12"/>
      <c r="L27" s="12"/>
      <c r="M27" s="12"/>
      <c r="N27" s="12"/>
    </row>
    <row r="28" customFormat="false" ht="15" hidden="false" customHeight="false" outlineLevel="0" collapsed="false">
      <c r="A28" s="2"/>
      <c r="B28" s="2" t="s">
        <v>148</v>
      </c>
      <c r="C28" s="12" t="n">
        <v>0.07</v>
      </c>
      <c r="D28" s="12" t="n">
        <v>0.35</v>
      </c>
      <c r="E28" s="12" t="n">
        <v>0.33</v>
      </c>
      <c r="F28" s="12" t="n">
        <v>0.05</v>
      </c>
      <c r="G28" s="12" t="n">
        <v>0.05</v>
      </c>
      <c r="H28" s="12" t="n">
        <v>0.05</v>
      </c>
      <c r="I28" s="12"/>
      <c r="J28" s="12"/>
      <c r="K28" s="12"/>
      <c r="L28" s="12"/>
      <c r="M28" s="12"/>
      <c r="N28" s="12"/>
    </row>
    <row r="29" customFormat="false" ht="15" hidden="false" customHeight="false" outlineLevel="0" collapsed="false">
      <c r="A29" s="2"/>
      <c r="B29" s="2" t="s">
        <v>149</v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/>
      <c r="J29" s="12"/>
      <c r="K29" s="12"/>
      <c r="L29" s="12"/>
      <c r="M29" s="12"/>
      <c r="N29" s="12"/>
    </row>
    <row r="30" customFormat="false" ht="15" hidden="false" customHeight="false" outlineLevel="0" collapsed="false">
      <c r="A30" s="2"/>
      <c r="B30" s="2" t="s">
        <v>150</v>
      </c>
      <c r="C30" s="12" t="n">
        <v>0</v>
      </c>
      <c r="D30" s="12" t="n">
        <v>0</v>
      </c>
      <c r="E30" s="12" t="n">
        <v>0.29</v>
      </c>
      <c r="F30" s="12" t="n">
        <v>0</v>
      </c>
      <c r="G30" s="12" t="n">
        <v>0</v>
      </c>
      <c r="H30" s="12" t="n">
        <v>3.22</v>
      </c>
      <c r="I30" s="12"/>
      <c r="J30" s="12"/>
      <c r="K30" s="12"/>
      <c r="L30" s="12"/>
      <c r="M30" s="12"/>
      <c r="N30" s="12"/>
    </row>
    <row r="31" customFormat="false" ht="15" hidden="false" customHeight="false" outlineLevel="0" collapsed="false">
      <c r="A31" s="2"/>
      <c r="B31" s="2" t="s">
        <v>151</v>
      </c>
      <c r="C31" s="12" t="n">
        <v>0</v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/>
      <c r="J31" s="12"/>
      <c r="K31" s="12"/>
      <c r="L31" s="12"/>
      <c r="M31" s="12"/>
      <c r="N31" s="12"/>
    </row>
    <row r="32" customFormat="false" ht="15" hidden="false" customHeight="false" outlineLevel="0" collapsed="false">
      <c r="A32" s="2" t="s">
        <v>152</v>
      </c>
      <c r="B32" s="4" t="s">
        <v>153</v>
      </c>
      <c r="C32" s="12" t="n">
        <v>-31.72</v>
      </c>
      <c r="D32" s="12" t="n">
        <v>71.63</v>
      </c>
      <c r="E32" s="12" t="n">
        <v>32.47</v>
      </c>
      <c r="F32" s="12" t="n">
        <v>-22.62</v>
      </c>
      <c r="G32" s="12" t="n">
        <v>-40.89</v>
      </c>
      <c r="H32" s="12" t="n">
        <v>48.76</v>
      </c>
      <c r="I32" s="12"/>
      <c r="J32" s="12"/>
      <c r="K32" s="12"/>
      <c r="L32" s="12"/>
      <c r="M32" s="12"/>
      <c r="N32" s="12"/>
    </row>
    <row r="33" customFormat="false" ht="15" hidden="false" customHeight="false" outlineLevel="0" collapsed="false">
      <c r="A33" s="2"/>
      <c r="B33" s="2" t="s">
        <v>154</v>
      </c>
      <c r="C33" s="12" t="n">
        <v>152.29</v>
      </c>
      <c r="D33" s="6" t="n">
        <f aca="false">C34</f>
        <v>120.57</v>
      </c>
      <c r="E33" s="6" t="n">
        <f aca="false">D34</f>
        <v>192.2</v>
      </c>
      <c r="F33" s="6" t="n">
        <f aca="false">E34</f>
        <v>224.67</v>
      </c>
      <c r="G33" s="6" t="n">
        <f aca="false">F34</f>
        <v>202.05</v>
      </c>
      <c r="H33" s="6" t="n">
        <f aca="false">G34</f>
        <v>161.16</v>
      </c>
      <c r="I33" s="6" t="n">
        <f aca="false">H34</f>
        <v>209.92</v>
      </c>
      <c r="J33" s="6" t="n">
        <f aca="false">I34</f>
        <v>0</v>
      </c>
      <c r="K33" s="6" t="n">
        <f aca="false">J34</f>
        <v>0</v>
      </c>
      <c r="L33" s="6" t="n">
        <f aca="false">K34</f>
        <v>0</v>
      </c>
      <c r="M33" s="6" t="n">
        <f aca="false">L34</f>
        <v>0</v>
      </c>
      <c r="N33" s="6" t="n">
        <f aca="false">M34</f>
        <v>0</v>
      </c>
    </row>
    <row r="34" customFormat="false" ht="15" hidden="false" customHeight="false" outlineLevel="0" collapsed="false">
      <c r="A34" s="2"/>
      <c r="B34" s="2" t="s">
        <v>155</v>
      </c>
      <c r="C34" s="12" t="n">
        <v>120.57</v>
      </c>
      <c r="D34" s="12" t="n">
        <v>192.2</v>
      </c>
      <c r="E34" s="12" t="n">
        <v>224.67</v>
      </c>
      <c r="F34" s="12" t="n">
        <v>202.05</v>
      </c>
      <c r="G34" s="12" t="n">
        <v>161.16</v>
      </c>
      <c r="H34" s="12" t="n">
        <v>209.92</v>
      </c>
      <c r="I34" s="12"/>
      <c r="J34" s="12"/>
      <c r="K34" s="12"/>
      <c r="L34" s="12"/>
      <c r="M34" s="12"/>
      <c r="N34" s="12"/>
    </row>
    <row r="35" customFormat="false" ht="15" hidden="false" customHeight="false" outlineLevel="0" collapsed="false">
      <c r="A35" s="2" t="s">
        <v>156</v>
      </c>
      <c r="B35" s="4" t="s">
        <v>157</v>
      </c>
      <c r="C35" s="12" t="n">
        <v>-15.08</v>
      </c>
      <c r="D35" s="12" t="n">
        <v>-3.56</v>
      </c>
      <c r="E35" s="12" t="n">
        <v>-4.02</v>
      </c>
      <c r="F35" s="12" t="n">
        <v>-3.79</v>
      </c>
      <c r="G35" s="12" t="n">
        <v>1</v>
      </c>
      <c r="H35" s="12" t="n">
        <v>0.56</v>
      </c>
      <c r="I35" s="12"/>
      <c r="J35" s="12"/>
      <c r="K35" s="12"/>
      <c r="L35" s="12"/>
      <c r="M35" s="12"/>
      <c r="N35" s="12"/>
    </row>
    <row r="36" customFormat="false" ht="15" hidden="false" customHeight="false" outlineLevel="0" collapsed="false">
      <c r="A36" s="2"/>
      <c r="B36" s="2" t="s">
        <v>158</v>
      </c>
      <c r="C36" s="12" t="n">
        <v>58.66</v>
      </c>
      <c r="D36" s="6" t="n">
        <f aca="false">C37</f>
        <v>43.58</v>
      </c>
      <c r="E36" s="6" t="n">
        <f aca="false">D37</f>
        <v>40.03</v>
      </c>
      <c r="F36" s="6" t="n">
        <f aca="false">E37</f>
        <v>36.01</v>
      </c>
      <c r="G36" s="6" t="n">
        <f aca="false">F37</f>
        <v>32.22</v>
      </c>
      <c r="H36" s="6" t="n">
        <f aca="false">G37</f>
        <v>33.22</v>
      </c>
      <c r="I36" s="6" t="n">
        <f aca="false">H37</f>
        <v>33.78</v>
      </c>
      <c r="J36" s="6" t="n">
        <f aca="false">I37</f>
        <v>0</v>
      </c>
      <c r="K36" s="6" t="n">
        <f aca="false">J37</f>
        <v>0</v>
      </c>
      <c r="L36" s="6" t="n">
        <f aca="false">K37</f>
        <v>0</v>
      </c>
      <c r="M36" s="6" t="n">
        <f aca="false">L37</f>
        <v>0</v>
      </c>
      <c r="N36" s="6" t="n">
        <f aca="false">M37</f>
        <v>0</v>
      </c>
    </row>
    <row r="37" customFormat="false" ht="15" hidden="false" customHeight="false" outlineLevel="0" collapsed="false">
      <c r="A37" s="2"/>
      <c r="B37" s="2" t="s">
        <v>159</v>
      </c>
      <c r="C37" s="12" t="n">
        <v>43.58</v>
      </c>
      <c r="D37" s="12" t="n">
        <v>40.03</v>
      </c>
      <c r="E37" s="12" t="n">
        <v>36.01</v>
      </c>
      <c r="F37" s="12" t="n">
        <v>32.22</v>
      </c>
      <c r="G37" s="12" t="n">
        <v>33.22</v>
      </c>
      <c r="H37" s="12" t="n">
        <v>33.78</v>
      </c>
      <c r="I37" s="12"/>
      <c r="J37" s="12"/>
      <c r="K37" s="12"/>
      <c r="L37" s="12"/>
      <c r="M37" s="12"/>
      <c r="N37" s="12"/>
    </row>
    <row r="38" customFormat="false" ht="15" hidden="false" customHeight="false" outlineLevel="0" collapsed="false">
      <c r="A38" s="2" t="s">
        <v>160</v>
      </c>
      <c r="B38" s="4" t="s">
        <v>161</v>
      </c>
      <c r="C38" s="7" t="n">
        <f aca="false">SUM(C39:C40)</f>
        <v>127.48</v>
      </c>
      <c r="D38" s="7" t="n">
        <f aca="false">SUM(D39:D40)</f>
        <v>155.16</v>
      </c>
      <c r="E38" s="7" t="n">
        <f aca="false">SUM(E39:E40)</f>
        <v>213.63</v>
      </c>
      <c r="F38" s="7" t="n">
        <f aca="false">SUM(F39:F40)</f>
        <v>276.97</v>
      </c>
      <c r="G38" s="7" t="n">
        <f aca="false">SUM(G39:G40)</f>
        <v>230.24</v>
      </c>
      <c r="H38" s="7" t="n">
        <f aca="false">SUM(H39:H40)</f>
        <v>218.34</v>
      </c>
      <c r="I38" s="7" t="n">
        <f aca="false">SUM(I39:I40)</f>
        <v>0</v>
      </c>
      <c r="J38" s="7" t="n">
        <f aca="false">SUM(J39:J40)</f>
        <v>0</v>
      </c>
      <c r="K38" s="7" t="n">
        <f aca="false">SUM(K39:K40)</f>
        <v>0</v>
      </c>
      <c r="L38" s="7" t="n">
        <f aca="false">SUM(L39:L40)</f>
        <v>0</v>
      </c>
      <c r="M38" s="7" t="n">
        <f aca="false">SUM(M39:M40)</f>
        <v>0</v>
      </c>
      <c r="N38" s="7" t="n">
        <f aca="false">SUM(N39:N40)</f>
        <v>0</v>
      </c>
    </row>
    <row r="39" customFormat="false" ht="15" hidden="false" customHeight="false" outlineLevel="0" collapsed="false">
      <c r="A39" s="2"/>
      <c r="B39" s="2" t="s">
        <v>162</v>
      </c>
      <c r="C39" s="12" t="n">
        <v>127.48</v>
      </c>
      <c r="D39" s="12" t="n">
        <v>90.02</v>
      </c>
      <c r="E39" s="12" t="n">
        <v>278.77</v>
      </c>
      <c r="F39" s="12" t="n">
        <v>276.97</v>
      </c>
      <c r="G39" s="12" t="n">
        <v>230.24</v>
      </c>
      <c r="H39" s="12" t="n">
        <v>218.34</v>
      </c>
      <c r="I39" s="12"/>
      <c r="J39" s="12"/>
      <c r="K39" s="12"/>
      <c r="L39" s="12"/>
      <c r="M39" s="12"/>
      <c r="N39" s="12"/>
    </row>
    <row r="40" customFormat="false" ht="15" hidden="false" customHeight="false" outlineLevel="0" collapsed="false">
      <c r="A40" s="2"/>
      <c r="B40" s="2" t="s">
        <v>163</v>
      </c>
      <c r="C40" s="12" t="n">
        <v>0</v>
      </c>
      <c r="D40" s="12" t="n">
        <v>65.14</v>
      </c>
      <c r="E40" s="12" t="n">
        <v>-65.14</v>
      </c>
      <c r="F40" s="12" t="n">
        <v>0</v>
      </c>
      <c r="G40" s="12" t="n">
        <v>0</v>
      </c>
      <c r="H40" s="12" t="n">
        <v>0</v>
      </c>
      <c r="I40" s="12"/>
      <c r="J40" s="12"/>
      <c r="K40" s="12"/>
      <c r="L40" s="12"/>
      <c r="M40" s="12"/>
      <c r="N40" s="12"/>
    </row>
    <row r="41" customFormat="false" ht="15" hidden="false" customHeight="false" outlineLevel="0" collapsed="false">
      <c r="A41" s="2" t="s">
        <v>164</v>
      </c>
      <c r="B41" s="4" t="s">
        <v>165</v>
      </c>
      <c r="C41" s="7" t="n">
        <f aca="false">SUM(C42:C48)</f>
        <v>6.89</v>
      </c>
      <c r="D41" s="7" t="n">
        <f aca="false">SUM(D42:D48)</f>
        <v>8.39</v>
      </c>
      <c r="E41" s="7" t="n">
        <f aca="false">SUM(E42:E48)</f>
        <v>6.89</v>
      </c>
      <c r="F41" s="7" t="n">
        <f aca="false">SUM(F42:F48)</f>
        <v>6.95</v>
      </c>
      <c r="G41" s="7" t="n">
        <f aca="false">SUM(G42:G48)</f>
        <v>10.41</v>
      </c>
      <c r="H41" s="7" t="n">
        <f aca="false">SUM(H42:H48)</f>
        <v>12.19</v>
      </c>
      <c r="I41" s="7" t="n">
        <f aca="false">SUM(I42:I48)</f>
        <v>0</v>
      </c>
      <c r="J41" s="7" t="n">
        <f aca="false">SUM(J42:J48)</f>
        <v>0</v>
      </c>
      <c r="K41" s="7" t="n">
        <f aca="false">SUM(K42:K48)</f>
        <v>0</v>
      </c>
      <c r="L41" s="7" t="n">
        <f aca="false">SUM(L42:L48)</f>
        <v>0</v>
      </c>
      <c r="M41" s="7" t="n">
        <f aca="false">SUM(M42:M48)</f>
        <v>0</v>
      </c>
      <c r="N41" s="7" t="n">
        <f aca="false">SUM(N42:N48)</f>
        <v>0</v>
      </c>
    </row>
    <row r="42" customFormat="false" ht="15" hidden="false" customHeight="false" outlineLevel="0" collapsed="false">
      <c r="A42" s="2"/>
      <c r="B42" s="2" t="s">
        <v>166</v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/>
      <c r="J42" s="12"/>
      <c r="K42" s="12"/>
      <c r="L42" s="12"/>
      <c r="M42" s="12"/>
      <c r="N42" s="12"/>
    </row>
    <row r="43" customFormat="false" ht="15" hidden="false" customHeight="false" outlineLevel="0" collapsed="false">
      <c r="A43" s="2"/>
      <c r="B43" s="2" t="s">
        <v>167</v>
      </c>
      <c r="C43" s="12" t="n">
        <v>0</v>
      </c>
      <c r="D43" s="12" t="n">
        <v>1.5</v>
      </c>
      <c r="E43" s="12" t="n">
        <v>0</v>
      </c>
      <c r="F43" s="12" t="n">
        <v>0.06</v>
      </c>
      <c r="G43" s="12" t="n">
        <v>2.5</v>
      </c>
      <c r="H43" s="12" t="n">
        <v>4.8</v>
      </c>
      <c r="I43" s="12"/>
      <c r="J43" s="12"/>
      <c r="K43" s="12"/>
      <c r="L43" s="12"/>
      <c r="M43" s="12"/>
      <c r="N43" s="12"/>
    </row>
    <row r="44" customFormat="false" ht="15" hidden="false" customHeight="false" outlineLevel="0" collapsed="false">
      <c r="A44" s="2"/>
      <c r="B44" s="2" t="s">
        <v>168</v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/>
      <c r="J44" s="12"/>
      <c r="K44" s="12"/>
      <c r="L44" s="12"/>
      <c r="M44" s="12"/>
      <c r="N44" s="12"/>
    </row>
    <row r="45" customFormat="false" ht="15" hidden="false" customHeight="false" outlineLevel="0" collapsed="false">
      <c r="A45" s="2"/>
      <c r="B45" s="2" t="s">
        <v>169</v>
      </c>
      <c r="C45" s="12" t="n">
        <v>6.89</v>
      </c>
      <c r="D45" s="12" t="n">
        <v>6.89</v>
      </c>
      <c r="E45" s="12" t="n">
        <v>6.89</v>
      </c>
      <c r="F45" s="12" t="n">
        <v>6.89</v>
      </c>
      <c r="G45" s="12" t="n">
        <v>7.91</v>
      </c>
      <c r="H45" s="12" t="n">
        <v>7.39</v>
      </c>
      <c r="I45" s="12"/>
      <c r="J45" s="12"/>
      <c r="K45" s="12"/>
      <c r="L45" s="12"/>
      <c r="M45" s="12"/>
      <c r="N45" s="12"/>
    </row>
    <row r="46" customFormat="false" ht="15" hidden="false" customHeight="false" outlineLevel="0" collapsed="false">
      <c r="A46" s="2"/>
      <c r="B46" s="2" t="s">
        <v>170</v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/>
      <c r="J46" s="12"/>
      <c r="K46" s="12"/>
      <c r="L46" s="12"/>
      <c r="M46" s="12"/>
      <c r="N46" s="12"/>
    </row>
    <row r="47" customFormat="false" ht="15" hidden="false" customHeight="false" outlineLevel="0" collapsed="false">
      <c r="A47" s="2"/>
      <c r="B47" s="2" t="s">
        <v>171</v>
      </c>
      <c r="C47" s="12" t="n">
        <v>0</v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/>
      <c r="J47" s="12"/>
      <c r="K47" s="12"/>
      <c r="L47" s="12"/>
      <c r="M47" s="12"/>
      <c r="N47" s="12"/>
    </row>
    <row r="48" customFormat="false" ht="15" hidden="false" customHeight="false" outlineLevel="0" collapsed="false">
      <c r="A48" s="2"/>
      <c r="B48" s="2" t="s">
        <v>172</v>
      </c>
      <c r="C48" s="12" t="n">
        <v>0</v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/>
      <c r="J48" s="12"/>
      <c r="K48" s="12"/>
      <c r="L48" s="12"/>
      <c r="M48" s="12"/>
      <c r="N48" s="12"/>
    </row>
    <row r="49" customFormat="false" ht="15" hidden="false" customHeight="false" outlineLevel="0" collapsed="false">
      <c r="A49" s="2" t="s">
        <v>173</v>
      </c>
      <c r="B49" s="4" t="s">
        <v>174</v>
      </c>
      <c r="C49" s="12" t="n">
        <v>0</v>
      </c>
      <c r="D49" s="12" t="n">
        <v>4.86</v>
      </c>
      <c r="E49" s="12" t="n">
        <v>7.15</v>
      </c>
      <c r="F49" s="12" t="n">
        <v>1.35</v>
      </c>
      <c r="G49" s="12" t="n">
        <v>1</v>
      </c>
      <c r="H49" s="12" t="n">
        <v>0.56</v>
      </c>
      <c r="I49" s="12"/>
      <c r="J49" s="12"/>
      <c r="K49" s="12"/>
      <c r="L49" s="12"/>
      <c r="M49" s="12"/>
      <c r="N49" s="12"/>
    </row>
    <row r="50" customFormat="false" ht="15" hidden="false" customHeight="false" outlineLevel="0" collapsed="false">
      <c r="A50" s="2" t="s">
        <v>175</v>
      </c>
      <c r="B50" s="4" t="s">
        <v>176</v>
      </c>
      <c r="C50" s="7" t="n">
        <f aca="false">SUM(C51:C53)</f>
        <v>0</v>
      </c>
      <c r="D50" s="7" t="n">
        <f aca="false">SUM(D51:D53)</f>
        <v>0</v>
      </c>
      <c r="E50" s="7" t="n">
        <f aca="false">SUM(E51:E53)</f>
        <v>0</v>
      </c>
      <c r="F50" s="7" t="n">
        <f aca="false">SUM(F51:F53)</f>
        <v>0</v>
      </c>
      <c r="G50" s="7" t="n">
        <f aca="false">SUM(G51:G53)</f>
        <v>0</v>
      </c>
      <c r="H50" s="7" t="n">
        <f aca="false">SUM(H51:H53)</f>
        <v>0</v>
      </c>
      <c r="I50" s="7" t="n">
        <f aca="false">SUM(I51:I53)</f>
        <v>0</v>
      </c>
      <c r="J50" s="7" t="n">
        <f aca="false">SUM(J51:J53)</f>
        <v>0</v>
      </c>
      <c r="K50" s="7" t="n">
        <f aca="false">SUM(K51:K53)</f>
        <v>0</v>
      </c>
      <c r="L50" s="7" t="n">
        <f aca="false">SUM(L51:L53)</f>
        <v>0</v>
      </c>
      <c r="M50" s="7" t="n">
        <f aca="false">SUM(M51:M53)</f>
        <v>0</v>
      </c>
      <c r="N50" s="7" t="n">
        <f aca="false">SUM(N51:N53)</f>
        <v>0</v>
      </c>
    </row>
    <row r="51" customFormat="false" ht="15" hidden="false" customHeight="false" outlineLevel="0" collapsed="false">
      <c r="A51" s="2"/>
      <c r="B51" s="2" t="s">
        <v>177</v>
      </c>
      <c r="C51" s="12" t="n">
        <v>0</v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/>
      <c r="J51" s="12"/>
      <c r="K51" s="12"/>
      <c r="L51" s="12"/>
      <c r="M51" s="12"/>
      <c r="N51" s="12"/>
    </row>
    <row r="52" customFormat="false" ht="15" hidden="false" customHeight="false" outlineLevel="0" collapsed="false">
      <c r="A52" s="2"/>
      <c r="B52" s="2" t="s">
        <v>178</v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/>
      <c r="J52" s="12"/>
      <c r="K52" s="12"/>
      <c r="L52" s="12"/>
      <c r="M52" s="12"/>
      <c r="N52" s="12"/>
    </row>
    <row r="53" customFormat="false" ht="15" hidden="false" customHeight="false" outlineLevel="0" collapsed="false">
      <c r="A53" s="2"/>
      <c r="B53" s="2" t="s">
        <v>179</v>
      </c>
      <c r="C53" s="12" t="n">
        <v>0</v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/>
      <c r="J53" s="12"/>
      <c r="K53" s="12"/>
      <c r="L53" s="12"/>
      <c r="M53" s="12"/>
      <c r="N53" s="12"/>
    </row>
    <row r="55" customFormat="false" ht="15" hidden="false" customHeight="false" outlineLevel="0" collapsed="false">
      <c r="B55" s="4" t="s">
        <v>180</v>
      </c>
    </row>
    <row r="56" customFormat="false" ht="15" hidden="false" customHeight="false" outlineLevel="0" collapsed="false">
      <c r="B56" s="2" t="s">
        <v>181</v>
      </c>
      <c r="C56" s="9" t="n">
        <f aca="false">ROUND(C34-C33-C32,2)</f>
        <v>0</v>
      </c>
      <c r="D56" s="9" t="n">
        <f aca="false">ROUND(D34-D33-D32,2)</f>
        <v>0</v>
      </c>
      <c r="E56" s="9" t="n">
        <f aca="false">ROUND(E34-E33-E32,2)</f>
        <v>0</v>
      </c>
      <c r="F56" s="9" t="n">
        <f aca="false">ROUND(F34-F33-F32,2)</f>
        <v>0</v>
      </c>
      <c r="G56" s="9" t="n">
        <f aca="false">ROUND(G34-G33-G32,2)</f>
        <v>0</v>
      </c>
      <c r="H56" s="9" t="n">
        <f aca="false">ROUND(H34-H33-H32,2)</f>
        <v>0</v>
      </c>
      <c r="I56" s="9" t="n">
        <f aca="false">ROUND(I34-I33-I32,2)</f>
        <v>-209.92</v>
      </c>
      <c r="J56" s="9" t="n">
        <f aca="false">ROUND(J34-J33-J32,2)</f>
        <v>0</v>
      </c>
      <c r="K56" s="9" t="n">
        <f aca="false">ROUND(K34-K33-K32,2)</f>
        <v>0</v>
      </c>
      <c r="L56" s="9" t="n">
        <f aca="false">ROUND(L34-L33-L32,2)</f>
        <v>0</v>
      </c>
      <c r="M56" s="9" t="n">
        <f aca="false">ROUND(M34-M33-M32,2)</f>
        <v>0</v>
      </c>
      <c r="N56" s="9" t="n">
        <f aca="false">ROUND(N34-N33-N32,2)</f>
        <v>0</v>
      </c>
    </row>
    <row r="57" customFormat="false" ht="15" hidden="false" customHeight="false" outlineLevel="0" collapsed="false">
      <c r="B57" s="2" t="s">
        <v>182</v>
      </c>
      <c r="C57" s="9" t="n">
        <f aca="false">ROUND(C37-C36-C35,2)</f>
        <v>0</v>
      </c>
      <c r="D57" s="9" t="n">
        <f aca="false">ROUND(D37-D36-D35,2)</f>
        <v>0.01</v>
      </c>
      <c r="E57" s="9" t="n">
        <f aca="false">ROUND(E37-E36-E35,2)</f>
        <v>0</v>
      </c>
      <c r="F57" s="9" t="n">
        <f aca="false">ROUND(F37-F36-F35,2)</f>
        <v>0</v>
      </c>
      <c r="G57" s="9" t="n">
        <f aca="false">ROUND(G37-G36-G35,2)</f>
        <v>0</v>
      </c>
      <c r="H57" s="9" t="n">
        <f aca="false">ROUND(H37-H36-H35,2)</f>
        <v>0</v>
      </c>
      <c r="I57" s="9" t="n">
        <f aca="false">ROUND(I37-I36-I35,2)</f>
        <v>-33.78</v>
      </c>
      <c r="J57" s="9" t="n">
        <f aca="false">ROUND(J37-J36-J35,2)</f>
        <v>0</v>
      </c>
      <c r="K57" s="9" t="n">
        <f aca="false">ROUND(K37-K36-K35,2)</f>
        <v>0</v>
      </c>
      <c r="L57" s="9" t="n">
        <f aca="false">ROUND(L37-L36-L35,2)</f>
        <v>0</v>
      </c>
      <c r="M57" s="9" t="n">
        <f aca="false">ROUND(M37-M36-M35,2)</f>
        <v>0</v>
      </c>
      <c r="N57" s="9" t="n">
        <f aca="false">ROUND(N37-N36-N35,2)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4" style="0" width="34"/>
    <col collapsed="false" customWidth="true" hidden="false" outlineLevel="0" max="33" min="5" style="0" width="12"/>
  </cols>
  <sheetData>
    <row r="1" customFormat="false" ht="15" hidden="false" customHeight="false" outlineLevel="0" collapsed="false">
      <c r="A1" s="11" t="s">
        <v>183</v>
      </c>
    </row>
    <row r="3" customFormat="false" ht="60" hidden="false" customHeight="true" outlineLevel="0" collapsed="false">
      <c r="A3" s="5" t="s">
        <v>184</v>
      </c>
      <c r="B3" s="5" t="s">
        <v>185</v>
      </c>
      <c r="C3" s="5" t="s">
        <v>186</v>
      </c>
      <c r="D3" s="5" t="s">
        <v>187</v>
      </c>
      <c r="E3" s="5" t="s">
        <v>188</v>
      </c>
      <c r="F3" s="5" t="s">
        <v>189</v>
      </c>
      <c r="G3" s="5" t="s">
        <v>190</v>
      </c>
      <c r="H3" s="5" t="s">
        <v>191</v>
      </c>
      <c r="I3" s="5" t="s">
        <v>192</v>
      </c>
      <c r="J3" s="5" t="s">
        <v>193</v>
      </c>
      <c r="K3" s="5" t="s">
        <v>194</v>
      </c>
      <c r="L3" s="5" t="s">
        <v>195</v>
      </c>
      <c r="M3" s="5" t="s">
        <v>196</v>
      </c>
      <c r="N3" s="5" t="s">
        <v>197</v>
      </c>
      <c r="O3" s="5" t="s">
        <v>198</v>
      </c>
      <c r="P3" s="5" t="s">
        <v>199</v>
      </c>
      <c r="Q3" s="5" t="s">
        <v>200</v>
      </c>
      <c r="R3" s="5" t="s">
        <v>201</v>
      </c>
      <c r="S3" s="5" t="s">
        <v>202</v>
      </c>
      <c r="T3" s="5" t="s">
        <v>203</v>
      </c>
      <c r="U3" s="5" t="s">
        <v>204</v>
      </c>
      <c r="V3" s="5" t="s">
        <v>205</v>
      </c>
      <c r="W3" s="5" t="s">
        <v>206</v>
      </c>
      <c r="X3" s="5" t="s">
        <v>207</v>
      </c>
      <c r="Y3" s="5" t="s">
        <v>208</v>
      </c>
      <c r="Z3" s="5" t="s">
        <v>209</v>
      </c>
      <c r="AA3" s="5" t="s">
        <v>210</v>
      </c>
      <c r="AB3" s="5" t="s">
        <v>211</v>
      </c>
      <c r="AC3" s="5" t="s">
        <v>212</v>
      </c>
      <c r="AD3" s="5" t="s">
        <v>213</v>
      </c>
      <c r="AE3" s="5" t="s">
        <v>214</v>
      </c>
      <c r="AF3" s="5" t="s">
        <v>215</v>
      </c>
      <c r="AG3" s="5" t="s">
        <v>216</v>
      </c>
    </row>
    <row r="4" customFormat="false" ht="15" hidden="false" customHeight="false" outlineLevel="0" collapsed="false">
      <c r="A4" s="13" t="s">
        <v>217</v>
      </c>
      <c r="B4" s="13" t="s">
        <v>218</v>
      </c>
      <c r="C4" s="13" t="s">
        <v>219</v>
      </c>
      <c r="D4" s="13" t="s">
        <v>220</v>
      </c>
      <c r="E4" s="14" t="n">
        <v>18.75</v>
      </c>
      <c r="F4" s="14" t="n">
        <v>6</v>
      </c>
      <c r="G4" s="14" t="n">
        <v>0.11</v>
      </c>
      <c r="H4" s="14"/>
      <c r="I4" s="14"/>
      <c r="J4" s="14" t="n">
        <v>59.61</v>
      </c>
      <c r="K4" s="14" t="n">
        <v>108.92</v>
      </c>
      <c r="L4" s="14" t="n">
        <v>2.21</v>
      </c>
      <c r="M4" s="14" t="n">
        <v>19.55</v>
      </c>
      <c r="N4" s="14" t="n">
        <v>3.9</v>
      </c>
      <c r="O4" s="14" t="n">
        <v>0.45</v>
      </c>
      <c r="P4" s="14" t="n">
        <v>1.5</v>
      </c>
      <c r="Q4" s="14"/>
      <c r="R4" s="14" t="n">
        <v>1.1</v>
      </c>
      <c r="S4" s="14" t="n">
        <v>137.63</v>
      </c>
      <c r="T4" s="14" t="n">
        <v>0.9</v>
      </c>
      <c r="U4" s="14" t="n">
        <v>10</v>
      </c>
      <c r="V4" s="14" t="n">
        <v>20.68</v>
      </c>
      <c r="W4" s="14" t="n">
        <v>169.2</v>
      </c>
      <c r="X4" s="14" t="n">
        <v>223.53</v>
      </c>
      <c r="Y4" s="14" t="n">
        <v>54.33</v>
      </c>
      <c r="Z4" s="14" t="n">
        <v>0.06</v>
      </c>
      <c r="AA4" s="14" t="n">
        <v>0</v>
      </c>
      <c r="AB4" s="14" t="n">
        <v>0</v>
      </c>
      <c r="AC4" s="14" t="n">
        <v>0</v>
      </c>
      <c r="AD4" s="15" t="n">
        <f aca="false">H4*E4/1000</f>
        <v>0</v>
      </c>
      <c r="AE4" s="15" t="n">
        <f aca="false">I4*E4/1000</f>
        <v>0</v>
      </c>
      <c r="AF4" s="16" t="n">
        <f aca="false">ROUND(S4+T4+U4+V4-W4,2)</f>
        <v>0.01</v>
      </c>
      <c r="AG4" s="16" t="n">
        <f aca="false">ROUND(X4-W4-Y4,2)</f>
        <v>0</v>
      </c>
    </row>
    <row r="5" customFormat="false" ht="15" hidden="false" customHeight="false" outlineLevel="0" collapsed="false">
      <c r="A5" s="13" t="s">
        <v>217</v>
      </c>
      <c r="B5" s="13" t="s">
        <v>218</v>
      </c>
      <c r="C5" s="13" t="s">
        <v>219</v>
      </c>
      <c r="D5" s="13" t="s">
        <v>221</v>
      </c>
      <c r="E5" s="14" t="n">
        <v>25</v>
      </c>
      <c r="F5" s="14" t="n">
        <v>24</v>
      </c>
      <c r="G5" s="14" t="n">
        <v>0.6</v>
      </c>
      <c r="H5" s="14"/>
      <c r="I5" s="14"/>
      <c r="J5" s="14" t="n">
        <v>63.85</v>
      </c>
      <c r="K5" s="14" t="n">
        <v>108.46</v>
      </c>
      <c r="L5" s="14" t="n">
        <v>2.07</v>
      </c>
      <c r="M5" s="14" t="n">
        <v>19.54</v>
      </c>
      <c r="N5" s="14" t="n">
        <v>3.9</v>
      </c>
      <c r="O5" s="14" t="n">
        <v>0.45</v>
      </c>
      <c r="P5" s="14" t="n">
        <v>1.5</v>
      </c>
      <c r="Q5" s="14"/>
      <c r="R5" s="14" t="n">
        <v>1.1</v>
      </c>
      <c r="S5" s="14" t="n">
        <v>137.02</v>
      </c>
      <c r="T5" s="14" t="n">
        <v>0.9</v>
      </c>
      <c r="U5" s="14" t="n">
        <v>10</v>
      </c>
      <c r="V5" s="14" t="n">
        <v>19.89</v>
      </c>
      <c r="W5" s="14" t="n">
        <v>167.81</v>
      </c>
      <c r="X5" s="14" t="n">
        <v>223.53</v>
      </c>
      <c r="Y5" s="14" t="n">
        <v>55.72</v>
      </c>
      <c r="Z5" s="14" t="n">
        <v>0.33</v>
      </c>
      <c r="AA5" s="14" t="n">
        <v>0</v>
      </c>
      <c r="AB5" s="14" t="n">
        <v>0</v>
      </c>
      <c r="AC5" s="14" t="n">
        <v>0</v>
      </c>
      <c r="AD5" s="15" t="n">
        <f aca="false">H5*E5/1000</f>
        <v>0</v>
      </c>
      <c r="AE5" s="15" t="n">
        <f aca="false">I5*E5/1000</f>
        <v>0</v>
      </c>
      <c r="AF5" s="16" t="n">
        <f aca="false">ROUND(S5+T5+U5+V5-W5,2)</f>
        <v>0</v>
      </c>
      <c r="AG5" s="16" t="n">
        <f aca="false">ROUND(X5-W5-Y5,2)</f>
        <v>0</v>
      </c>
    </row>
    <row r="6" customFormat="false" ht="15" hidden="false" customHeight="false" outlineLevel="0" collapsed="false">
      <c r="A6" s="13" t="s">
        <v>217</v>
      </c>
      <c r="B6" s="13" t="s">
        <v>218</v>
      </c>
      <c r="C6" s="13" t="s">
        <v>219</v>
      </c>
      <c r="D6" s="13" t="s">
        <v>222</v>
      </c>
      <c r="E6" s="14" t="n">
        <v>20.7</v>
      </c>
      <c r="F6" s="14" t="n">
        <v>8</v>
      </c>
      <c r="G6" s="14" t="n">
        <v>0.17</v>
      </c>
      <c r="H6" s="14"/>
      <c r="I6" s="14"/>
      <c r="J6" s="14" t="n">
        <v>59.04</v>
      </c>
      <c r="K6" s="14" t="n">
        <v>108.99</v>
      </c>
      <c r="L6" s="14" t="n">
        <v>2.24</v>
      </c>
      <c r="M6" s="14" t="n">
        <v>18.01</v>
      </c>
      <c r="N6" s="14" t="n">
        <v>3.9</v>
      </c>
      <c r="O6" s="14" t="n">
        <v>0.45</v>
      </c>
      <c r="P6" s="14" t="n">
        <v>1.5</v>
      </c>
      <c r="Q6" s="14"/>
      <c r="R6" s="14" t="n">
        <v>1.1</v>
      </c>
      <c r="S6" s="14" t="n">
        <v>136.18</v>
      </c>
      <c r="T6" s="14" t="n">
        <v>0.9</v>
      </c>
      <c r="U6" s="14" t="n">
        <v>10</v>
      </c>
      <c r="V6" s="14" t="n">
        <v>20.79</v>
      </c>
      <c r="W6" s="14" t="n">
        <v>167.87</v>
      </c>
      <c r="X6" s="14" t="n">
        <v>223.53</v>
      </c>
      <c r="Y6" s="14" t="n">
        <v>55.66</v>
      </c>
      <c r="Z6" s="14" t="n">
        <v>0.09</v>
      </c>
      <c r="AA6" s="14" t="n">
        <v>0</v>
      </c>
      <c r="AB6" s="14" t="n">
        <v>0</v>
      </c>
      <c r="AC6" s="14" t="n">
        <v>0</v>
      </c>
      <c r="AD6" s="15" t="n">
        <f aca="false">H6*E6/1000</f>
        <v>0</v>
      </c>
      <c r="AE6" s="15" t="n">
        <f aca="false">I6*E6/1000</f>
        <v>0</v>
      </c>
      <c r="AF6" s="16" t="n">
        <f aca="false">ROUND(S6+T6+U6+V6-W6,2)</f>
        <v>0</v>
      </c>
      <c r="AG6" s="16" t="n">
        <f aca="false">ROUND(X6-W6-Y6,2)</f>
        <v>0</v>
      </c>
    </row>
    <row r="7" customFormat="false" ht="15" hidden="false" customHeight="false" outlineLevel="0" collapsed="false">
      <c r="A7" s="13" t="s">
        <v>217</v>
      </c>
      <c r="B7" s="13" t="s">
        <v>218</v>
      </c>
      <c r="C7" s="13" t="s">
        <v>219</v>
      </c>
      <c r="D7" s="13" t="s">
        <v>223</v>
      </c>
      <c r="E7" s="14" t="n">
        <v>29.7</v>
      </c>
      <c r="F7" s="14" t="n">
        <v>18</v>
      </c>
      <c r="G7" s="14" t="n">
        <v>0.53</v>
      </c>
      <c r="H7" s="14"/>
      <c r="I7" s="14"/>
      <c r="J7" s="14" t="n">
        <v>60.87</v>
      </c>
      <c r="K7" s="14" t="n">
        <v>108.78</v>
      </c>
      <c r="L7" s="14" t="n">
        <v>2.17</v>
      </c>
      <c r="M7" s="14" t="n">
        <v>15.94</v>
      </c>
      <c r="N7" s="14" t="n">
        <v>3.9</v>
      </c>
      <c r="O7" s="14" t="n">
        <v>0.45</v>
      </c>
      <c r="P7" s="14" t="n">
        <v>1.5</v>
      </c>
      <c r="Q7" s="14"/>
      <c r="R7" s="14" t="n">
        <v>1.1</v>
      </c>
      <c r="S7" s="14" t="n">
        <v>133.84</v>
      </c>
      <c r="T7" s="14" t="n">
        <v>0.9</v>
      </c>
      <c r="U7" s="14" t="n">
        <v>10</v>
      </c>
      <c r="V7" s="14" t="n">
        <v>20.43</v>
      </c>
      <c r="W7" s="14" t="n">
        <v>165.17</v>
      </c>
      <c r="X7" s="14" t="n">
        <v>223.53</v>
      </c>
      <c r="Y7" s="14" t="n">
        <v>58.36</v>
      </c>
      <c r="Z7" s="14" t="n">
        <v>0.31</v>
      </c>
      <c r="AA7" s="14" t="n">
        <v>0</v>
      </c>
      <c r="AB7" s="14" t="n">
        <v>0</v>
      </c>
      <c r="AC7" s="14" t="n">
        <v>0</v>
      </c>
      <c r="AD7" s="15" t="n">
        <f aca="false">H7*E7/1000</f>
        <v>0</v>
      </c>
      <c r="AE7" s="15" t="n">
        <f aca="false">I7*E7/1000</f>
        <v>0</v>
      </c>
      <c r="AF7" s="16" t="n">
        <f aca="false">ROUND(S7+T7+U7+V7-W7,2)</f>
        <v>0</v>
      </c>
      <c r="AG7" s="16" t="n">
        <f aca="false">ROUND(X7-W7-Y7,2)</f>
        <v>0</v>
      </c>
    </row>
    <row r="8" customFormat="false" ht="15" hidden="false" customHeight="false" outlineLevel="0" collapsed="false">
      <c r="A8" s="13" t="s">
        <v>217</v>
      </c>
      <c r="B8" s="13" t="s">
        <v>218</v>
      </c>
      <c r="C8" s="13" t="s">
        <v>219</v>
      </c>
      <c r="D8" s="13" t="s">
        <v>224</v>
      </c>
      <c r="E8" s="14" t="n">
        <v>39.26</v>
      </c>
      <c r="F8" s="14" t="n">
        <v>8</v>
      </c>
      <c r="G8" s="14" t="n">
        <v>0.31</v>
      </c>
      <c r="H8" s="14"/>
      <c r="I8" s="14"/>
      <c r="J8" s="14" t="n">
        <v>64.15</v>
      </c>
      <c r="K8" s="14" t="n">
        <v>108.43</v>
      </c>
      <c r="L8" s="14" t="n">
        <v>2.06</v>
      </c>
      <c r="M8" s="14" t="n">
        <v>13.65</v>
      </c>
      <c r="N8" s="14" t="n">
        <v>3.9</v>
      </c>
      <c r="O8" s="14" t="n">
        <v>0.54</v>
      </c>
      <c r="P8" s="14" t="n">
        <v>1.5</v>
      </c>
      <c r="Q8" s="14"/>
      <c r="R8" s="14" t="n">
        <v>1.1</v>
      </c>
      <c r="S8" s="14" t="n">
        <v>131.18</v>
      </c>
      <c r="T8" s="14" t="n">
        <v>0.9</v>
      </c>
      <c r="U8" s="14" t="n">
        <v>10</v>
      </c>
      <c r="V8" s="14" t="n">
        <v>19.84</v>
      </c>
      <c r="W8" s="14" t="n">
        <v>161.92</v>
      </c>
      <c r="X8" s="14" t="n">
        <v>223.53</v>
      </c>
      <c r="Y8" s="14" t="n">
        <v>61.61</v>
      </c>
      <c r="Z8" s="14" t="n">
        <v>0.19</v>
      </c>
      <c r="AA8" s="14" t="n">
        <v>0</v>
      </c>
      <c r="AB8" s="14" t="n">
        <v>0</v>
      </c>
      <c r="AC8" s="14" t="n">
        <v>0</v>
      </c>
      <c r="AD8" s="15" t="n">
        <f aca="false">H8*E8/1000</f>
        <v>0</v>
      </c>
      <c r="AE8" s="15" t="n">
        <f aca="false">I8*E8/1000</f>
        <v>0</v>
      </c>
      <c r="AF8" s="16" t="n">
        <f aca="false">ROUND(S8+T8+U8+V8-W8,2)</f>
        <v>0</v>
      </c>
      <c r="AG8" s="16" t="n">
        <f aca="false">ROUND(X8-W8-Y8,2)</f>
        <v>0</v>
      </c>
    </row>
    <row r="9" customFormat="false" ht="15" hidden="false" customHeight="false" outlineLevel="0" collapsed="false">
      <c r="A9" s="13" t="s">
        <v>217</v>
      </c>
      <c r="B9" s="13" t="s">
        <v>218</v>
      </c>
      <c r="C9" s="13" t="s">
        <v>219</v>
      </c>
      <c r="D9" s="13" t="s">
        <v>225</v>
      </c>
      <c r="E9" s="14" t="n">
        <v>28.92</v>
      </c>
      <c r="F9" s="14" t="n">
        <v>4</v>
      </c>
      <c r="G9" s="14" t="n">
        <v>0.12</v>
      </c>
      <c r="H9" s="14"/>
      <c r="I9" s="14"/>
      <c r="J9" s="14" t="n">
        <v>63.01</v>
      </c>
      <c r="K9" s="14" t="n">
        <v>108.55</v>
      </c>
      <c r="L9" s="14" t="n">
        <v>2.09</v>
      </c>
      <c r="M9" s="14" t="n">
        <v>16.53</v>
      </c>
      <c r="N9" s="14" t="n">
        <v>3.9</v>
      </c>
      <c r="O9" s="14" t="n">
        <v>0.45</v>
      </c>
      <c r="P9" s="14" t="n">
        <v>1.5</v>
      </c>
      <c r="Q9" s="14"/>
      <c r="R9" s="14" t="n">
        <v>1.1</v>
      </c>
      <c r="S9" s="14" t="n">
        <v>134.12</v>
      </c>
      <c r="T9" s="14" t="n">
        <v>0.9</v>
      </c>
      <c r="U9" s="14" t="n">
        <v>10</v>
      </c>
      <c r="V9" s="14" t="n">
        <v>20.04</v>
      </c>
      <c r="W9" s="14" t="n">
        <v>165.06</v>
      </c>
      <c r="X9" s="14" t="n">
        <v>223.53</v>
      </c>
      <c r="Y9" s="14" t="n">
        <v>58.47</v>
      </c>
      <c r="Z9" s="14" t="n">
        <v>0.07</v>
      </c>
      <c r="AA9" s="14" t="n">
        <v>0</v>
      </c>
      <c r="AB9" s="14" t="n">
        <v>0</v>
      </c>
      <c r="AC9" s="14" t="n">
        <v>0</v>
      </c>
      <c r="AD9" s="15" t="n">
        <f aca="false">H9*E9/1000</f>
        <v>0</v>
      </c>
      <c r="AE9" s="15" t="n">
        <f aca="false">I9*E9/1000</f>
        <v>0</v>
      </c>
      <c r="AF9" s="16" t="n">
        <f aca="false">ROUND(S9+T9+U9+V9-W9,2)</f>
        <v>0</v>
      </c>
      <c r="AG9" s="16" t="n">
        <f aca="false">ROUND(X9-W9-Y9,2)</f>
        <v>0</v>
      </c>
    </row>
    <row r="10" customFormat="false" ht="15" hidden="false" customHeight="false" outlineLevel="0" collapsed="false">
      <c r="A10" s="13" t="s">
        <v>217</v>
      </c>
      <c r="B10" s="13" t="s">
        <v>218</v>
      </c>
      <c r="C10" s="13" t="s">
        <v>226</v>
      </c>
      <c r="D10" s="13" t="s">
        <v>221</v>
      </c>
      <c r="E10" s="14" t="n">
        <v>25</v>
      </c>
      <c r="F10" s="14" t="n">
        <v>96</v>
      </c>
      <c r="G10" s="14" t="n">
        <v>2.4</v>
      </c>
      <c r="H10" s="14"/>
      <c r="I10" s="14"/>
      <c r="J10" s="14" t="n">
        <v>63.85</v>
      </c>
      <c r="K10" s="14" t="n">
        <v>123.74</v>
      </c>
      <c r="L10" s="14" t="n">
        <v>2.07</v>
      </c>
      <c r="M10" s="14" t="n">
        <v>19.25</v>
      </c>
      <c r="N10" s="14" t="n">
        <v>3.9</v>
      </c>
      <c r="O10" s="14" t="n">
        <v>0.45</v>
      </c>
      <c r="P10" s="14" t="n">
        <v>1.5</v>
      </c>
      <c r="Q10" s="14"/>
      <c r="R10" s="14" t="n">
        <v>1.1</v>
      </c>
      <c r="S10" s="14" t="n">
        <v>152.02</v>
      </c>
      <c r="T10" s="14" t="n">
        <v>0.9</v>
      </c>
      <c r="U10" s="14" t="n">
        <v>10.2</v>
      </c>
      <c r="V10" s="14" t="n">
        <v>18.52</v>
      </c>
      <c r="W10" s="14" t="n">
        <v>181.64</v>
      </c>
      <c r="X10" s="14" t="n">
        <v>223.53</v>
      </c>
      <c r="Y10" s="14" t="n">
        <v>41.89</v>
      </c>
      <c r="Z10" s="14" t="n">
        <v>1.01</v>
      </c>
      <c r="AA10" s="14" t="n">
        <v>0</v>
      </c>
      <c r="AB10" s="14" t="n">
        <v>0</v>
      </c>
      <c r="AC10" s="14" t="n">
        <v>0</v>
      </c>
      <c r="AD10" s="15" t="n">
        <f aca="false">H10*E10/1000</f>
        <v>0</v>
      </c>
      <c r="AE10" s="15" t="n">
        <f aca="false">I10*E10/1000</f>
        <v>0</v>
      </c>
      <c r="AF10" s="16" t="n">
        <f aca="false">ROUND(S10+T10+U10+V10-W10,2)</f>
        <v>0</v>
      </c>
      <c r="AG10" s="16" t="n">
        <f aca="false">ROUND(X10-W10-Y10,2)</f>
        <v>0</v>
      </c>
    </row>
    <row r="11" customFormat="false" ht="15" hidden="false" customHeight="false" outlineLevel="0" collapsed="false">
      <c r="A11" s="13" t="s">
        <v>217</v>
      </c>
      <c r="B11" s="13" t="s">
        <v>218</v>
      </c>
      <c r="C11" s="13" t="s">
        <v>226</v>
      </c>
      <c r="D11" s="13" t="s">
        <v>222</v>
      </c>
      <c r="E11" s="14" t="n">
        <v>20.7</v>
      </c>
      <c r="F11" s="14" t="n">
        <v>52</v>
      </c>
      <c r="G11" s="14" t="n">
        <v>1.08</v>
      </c>
      <c r="H11" s="14"/>
      <c r="I11" s="14" t="n">
        <v>1</v>
      </c>
      <c r="J11" s="14" t="n">
        <v>59.04</v>
      </c>
      <c r="K11" s="14" t="n">
        <v>124.34</v>
      </c>
      <c r="L11" s="14" t="n">
        <v>2.24</v>
      </c>
      <c r="M11" s="14" t="n">
        <v>17.77</v>
      </c>
      <c r="N11" s="14" t="n">
        <v>3.9</v>
      </c>
      <c r="O11" s="14" t="n">
        <v>0.45</v>
      </c>
      <c r="P11" s="14" t="n">
        <v>1.5</v>
      </c>
      <c r="Q11" s="14"/>
      <c r="R11" s="14" t="n">
        <v>1.1</v>
      </c>
      <c r="S11" s="14" t="n">
        <v>151.3</v>
      </c>
      <c r="T11" s="14" t="n">
        <v>0.9</v>
      </c>
      <c r="U11" s="14" t="n">
        <v>10.2</v>
      </c>
      <c r="V11" s="14" t="n">
        <v>19.39</v>
      </c>
      <c r="W11" s="14" t="n">
        <v>181.79</v>
      </c>
      <c r="X11" s="14" t="n">
        <v>223.53</v>
      </c>
      <c r="Y11" s="14" t="n">
        <v>41.74</v>
      </c>
      <c r="Z11" s="14" t="n">
        <v>0.43</v>
      </c>
      <c r="AA11" s="14" t="n">
        <v>0</v>
      </c>
      <c r="AB11" s="14" t="n">
        <v>0.01</v>
      </c>
      <c r="AC11" s="14" t="n">
        <v>0.01</v>
      </c>
      <c r="AD11" s="15" t="n">
        <f aca="false">H11*E11/1000</f>
        <v>0</v>
      </c>
      <c r="AE11" s="15" t="n">
        <f aca="false">I11*E11/1000</f>
        <v>0.0207</v>
      </c>
      <c r="AF11" s="16" t="n">
        <f aca="false">ROUND(S11+T11+U11+V11-W11,2)</f>
        <v>0</v>
      </c>
      <c r="AG11" s="16" t="n">
        <f aca="false">ROUND(X11-W11-Y11,2)</f>
        <v>0</v>
      </c>
    </row>
    <row r="12" customFormat="false" ht="15" hidden="false" customHeight="false" outlineLevel="0" collapsed="false">
      <c r="A12" s="13" t="s">
        <v>217</v>
      </c>
      <c r="B12" s="13" t="s">
        <v>218</v>
      </c>
      <c r="C12" s="13" t="s">
        <v>226</v>
      </c>
      <c r="D12" s="13" t="s">
        <v>227</v>
      </c>
      <c r="E12" s="14" t="n">
        <v>18</v>
      </c>
      <c r="F12" s="14" t="n">
        <v>1</v>
      </c>
      <c r="G12" s="14" t="n">
        <v>0.02</v>
      </c>
      <c r="H12" s="14"/>
      <c r="I12" s="14"/>
      <c r="J12" s="14" t="n">
        <v>64.17</v>
      </c>
      <c r="K12" s="14" t="n">
        <v>123.71</v>
      </c>
      <c r="L12" s="14" t="n">
        <v>2.06</v>
      </c>
      <c r="M12" s="14" t="n">
        <v>15.6</v>
      </c>
      <c r="N12" s="14" t="n">
        <v>3.9</v>
      </c>
      <c r="O12" s="14" t="n">
        <v>0.45</v>
      </c>
      <c r="P12" s="14" t="n">
        <v>1.5</v>
      </c>
      <c r="Q12" s="14"/>
      <c r="R12" s="14" t="n">
        <v>1.1</v>
      </c>
      <c r="S12" s="14" t="n">
        <v>148.31</v>
      </c>
      <c r="T12" s="14" t="n">
        <v>0.9</v>
      </c>
      <c r="U12" s="14" t="n">
        <v>10.2</v>
      </c>
      <c r="V12" s="14" t="n">
        <v>18.47</v>
      </c>
      <c r="W12" s="14" t="n">
        <v>177.88</v>
      </c>
      <c r="X12" s="14" t="n">
        <v>223.53</v>
      </c>
      <c r="Y12" s="14" t="n">
        <v>45.65</v>
      </c>
      <c r="Z12" s="14" t="n">
        <v>0.01</v>
      </c>
      <c r="AA12" s="14" t="n">
        <v>0</v>
      </c>
      <c r="AB12" s="14" t="n">
        <v>0</v>
      </c>
      <c r="AC12" s="14" t="n">
        <v>0</v>
      </c>
      <c r="AD12" s="15" t="n">
        <f aca="false">H12*E12/1000</f>
        <v>0</v>
      </c>
      <c r="AE12" s="15" t="n">
        <f aca="false">I12*E12/1000</f>
        <v>0</v>
      </c>
      <c r="AF12" s="16" t="n">
        <f aca="false">ROUND(S12+T12+U12+V12-W12,2)</f>
        <v>0</v>
      </c>
      <c r="AG12" s="16" t="n">
        <f aca="false">ROUND(X12-W12-Y12,2)</f>
        <v>0</v>
      </c>
    </row>
    <row r="13" customFormat="false" ht="15" hidden="false" customHeight="false" outlineLevel="0" collapsed="false">
      <c r="A13" s="13" t="s">
        <v>217</v>
      </c>
      <c r="B13" s="13" t="s">
        <v>218</v>
      </c>
      <c r="C13" s="13" t="s">
        <v>226</v>
      </c>
      <c r="D13" s="13" t="s">
        <v>223</v>
      </c>
      <c r="E13" s="14" t="n">
        <v>29.7</v>
      </c>
      <c r="F13" s="14" t="n">
        <v>24</v>
      </c>
      <c r="G13" s="14" t="n">
        <v>0.71</v>
      </c>
      <c r="H13" s="14"/>
      <c r="I13" s="14"/>
      <c r="J13" s="14" t="n">
        <v>60.87</v>
      </c>
      <c r="K13" s="14" t="n">
        <v>124.1</v>
      </c>
      <c r="L13" s="14" t="n">
        <v>2.17</v>
      </c>
      <c r="M13" s="14" t="n">
        <v>15.72</v>
      </c>
      <c r="N13" s="14" t="n">
        <v>3.9</v>
      </c>
      <c r="O13" s="14" t="n">
        <v>0.45</v>
      </c>
      <c r="P13" s="14" t="n">
        <v>1.5</v>
      </c>
      <c r="Q13" s="14"/>
      <c r="R13" s="14" t="n">
        <v>1.1</v>
      </c>
      <c r="S13" s="14" t="n">
        <v>148.94</v>
      </c>
      <c r="T13" s="14" t="n">
        <v>0.9</v>
      </c>
      <c r="U13" s="14" t="n">
        <v>10.2</v>
      </c>
      <c r="V13" s="14" t="n">
        <v>19.05</v>
      </c>
      <c r="W13" s="14" t="n">
        <v>179.08</v>
      </c>
      <c r="X13" s="14" t="n">
        <v>223.53</v>
      </c>
      <c r="Y13" s="14" t="n">
        <v>44.45</v>
      </c>
      <c r="Z13" s="14" t="n">
        <v>0.32</v>
      </c>
      <c r="AA13" s="14" t="n">
        <v>0</v>
      </c>
      <c r="AB13" s="14" t="n">
        <v>0</v>
      </c>
      <c r="AC13" s="14" t="n">
        <v>0</v>
      </c>
      <c r="AD13" s="15" t="n">
        <f aca="false">H13*E13/1000</f>
        <v>0</v>
      </c>
      <c r="AE13" s="15" t="n">
        <f aca="false">I13*E13/1000</f>
        <v>0</v>
      </c>
      <c r="AF13" s="16" t="n">
        <f aca="false">ROUND(S13+T13+U13+V13-W13,2)</f>
        <v>0.01</v>
      </c>
      <c r="AG13" s="16" t="n">
        <f aca="false">ROUND(X13-W13-Y13,2)</f>
        <v>0</v>
      </c>
    </row>
    <row r="14" customFormat="false" ht="15" hidden="false" customHeight="false" outlineLevel="0" collapsed="false">
      <c r="A14" s="13" t="s">
        <v>217</v>
      </c>
      <c r="B14" s="13" t="s">
        <v>218</v>
      </c>
      <c r="C14" s="13" t="s">
        <v>226</v>
      </c>
      <c r="D14" s="13" t="s">
        <v>228</v>
      </c>
      <c r="E14" s="14" t="n">
        <v>28</v>
      </c>
      <c r="F14" s="14" t="n">
        <v>1</v>
      </c>
      <c r="G14" s="14" t="n">
        <v>0.03</v>
      </c>
      <c r="H14" s="14"/>
      <c r="I14" s="14"/>
      <c r="J14" s="14" t="n">
        <v>68</v>
      </c>
      <c r="K14" s="14" t="n">
        <v>123.3</v>
      </c>
      <c r="L14" s="14" t="n">
        <v>1.94</v>
      </c>
      <c r="M14" s="14" t="n">
        <v>16.59</v>
      </c>
      <c r="N14" s="14" t="n">
        <v>3.9</v>
      </c>
      <c r="O14" s="14" t="n">
        <v>0.45</v>
      </c>
      <c r="P14" s="14" t="n">
        <v>1.5</v>
      </c>
      <c r="Q14" s="14"/>
      <c r="R14" s="14" t="n">
        <v>1.1</v>
      </c>
      <c r="S14" s="14" t="n">
        <v>148.78</v>
      </c>
      <c r="T14" s="14" t="n">
        <v>0.9</v>
      </c>
      <c r="U14" s="14" t="n">
        <v>10.2</v>
      </c>
      <c r="V14" s="14" t="n">
        <v>17.87</v>
      </c>
      <c r="W14" s="14" t="n">
        <v>177.75</v>
      </c>
      <c r="X14" s="14" t="n">
        <v>223.53</v>
      </c>
      <c r="Y14" s="14" t="n">
        <v>45.78</v>
      </c>
      <c r="Z14" s="14" t="n">
        <v>0.01</v>
      </c>
      <c r="AA14" s="14" t="n">
        <v>0</v>
      </c>
      <c r="AB14" s="14" t="n">
        <v>0</v>
      </c>
      <c r="AC14" s="14" t="n">
        <v>0</v>
      </c>
      <c r="AD14" s="15" t="n">
        <f aca="false">H14*E14/1000</f>
        <v>0</v>
      </c>
      <c r="AE14" s="15" t="n">
        <f aca="false">I14*E14/1000</f>
        <v>0</v>
      </c>
      <c r="AF14" s="16" t="n">
        <f aca="false">ROUND(S14+T14+U14+V14-W14,2)</f>
        <v>0</v>
      </c>
      <c r="AG14" s="16" t="n">
        <f aca="false">ROUND(X14-W14-Y14,2)</f>
        <v>0</v>
      </c>
    </row>
    <row r="15" customFormat="false" ht="15" hidden="false" customHeight="false" outlineLevel="0" collapsed="false">
      <c r="A15" s="13" t="s">
        <v>217</v>
      </c>
      <c r="B15" s="13" t="s">
        <v>218</v>
      </c>
      <c r="C15" s="13" t="s">
        <v>226</v>
      </c>
      <c r="D15" s="13" t="s">
        <v>224</v>
      </c>
      <c r="E15" s="14" t="n">
        <v>39.26</v>
      </c>
      <c r="F15" s="14" t="n">
        <v>224</v>
      </c>
      <c r="G15" s="14" t="n">
        <v>8.79</v>
      </c>
      <c r="H15" s="14" t="n">
        <v>21</v>
      </c>
      <c r="I15" s="14" t="n">
        <v>2</v>
      </c>
      <c r="J15" s="14" t="n">
        <v>64.15</v>
      </c>
      <c r="K15" s="14" t="n">
        <v>123.71</v>
      </c>
      <c r="L15" s="14" t="n">
        <v>2.06</v>
      </c>
      <c r="M15" s="14" t="n">
        <v>13.45</v>
      </c>
      <c r="N15" s="14" t="n">
        <v>3.9</v>
      </c>
      <c r="O15" s="14" t="n">
        <v>0.54</v>
      </c>
      <c r="P15" s="14" t="n">
        <v>1.5</v>
      </c>
      <c r="Q15" s="14"/>
      <c r="R15" s="14" t="n">
        <v>1.1</v>
      </c>
      <c r="S15" s="14" t="n">
        <v>146.26</v>
      </c>
      <c r="T15" s="14" t="n">
        <v>0.9</v>
      </c>
      <c r="U15" s="14" t="n">
        <v>10.2</v>
      </c>
      <c r="V15" s="14" t="n">
        <v>18.47</v>
      </c>
      <c r="W15" s="14" t="n">
        <v>175.83</v>
      </c>
      <c r="X15" s="14" t="n">
        <v>223.53</v>
      </c>
      <c r="Y15" s="14" t="n">
        <v>47.7</v>
      </c>
      <c r="Z15" s="14" t="n">
        <v>3.33</v>
      </c>
      <c r="AA15" s="14" t="n">
        <v>0.39</v>
      </c>
      <c r="AB15" s="14" t="n">
        <v>0.04</v>
      </c>
      <c r="AC15" s="14" t="n">
        <v>0.43</v>
      </c>
      <c r="AD15" s="15" t="n">
        <f aca="false">H15*E15/1000</f>
        <v>0.82446</v>
      </c>
      <c r="AE15" s="15" t="n">
        <f aca="false">I15*E15/1000</f>
        <v>0.07852</v>
      </c>
      <c r="AF15" s="16" t="n">
        <f aca="false">ROUND(S15+T15+U15+V15-W15,2)</f>
        <v>0</v>
      </c>
      <c r="AG15" s="16" t="n">
        <f aca="false">ROUND(X15-W15-Y15,2)</f>
        <v>0</v>
      </c>
    </row>
    <row r="16" customFormat="false" ht="15" hidden="false" customHeight="false" outlineLevel="0" collapsed="false">
      <c r="A16" s="13" t="s">
        <v>217</v>
      </c>
      <c r="B16" s="13" t="s">
        <v>218</v>
      </c>
      <c r="C16" s="13" t="s">
        <v>226</v>
      </c>
      <c r="D16" s="13" t="s">
        <v>225</v>
      </c>
      <c r="E16" s="14" t="n">
        <v>28.92</v>
      </c>
      <c r="F16" s="14" t="n">
        <v>32</v>
      </c>
      <c r="G16" s="14" t="n">
        <v>0.93</v>
      </c>
      <c r="H16" s="14" t="n">
        <v>2</v>
      </c>
      <c r="I16" s="14"/>
      <c r="J16" s="14" t="n">
        <v>63.01</v>
      </c>
      <c r="K16" s="14" t="n">
        <v>123.84</v>
      </c>
      <c r="L16" s="14" t="n">
        <v>2.09</v>
      </c>
      <c r="M16" s="14" t="n">
        <v>16.29</v>
      </c>
      <c r="N16" s="14" t="n">
        <v>3.9</v>
      </c>
      <c r="O16" s="14" t="n">
        <v>0.45</v>
      </c>
      <c r="P16" s="14" t="n">
        <v>1.5</v>
      </c>
      <c r="Q16" s="14"/>
      <c r="R16" s="14" t="n">
        <v>1.1</v>
      </c>
      <c r="S16" s="14" t="n">
        <v>149.18</v>
      </c>
      <c r="T16" s="14" t="n">
        <v>0.9</v>
      </c>
      <c r="U16" s="14" t="n">
        <v>10.2</v>
      </c>
      <c r="V16" s="14" t="n">
        <v>18.66</v>
      </c>
      <c r="W16" s="14" t="n">
        <v>178.94</v>
      </c>
      <c r="X16" s="14" t="n">
        <v>223.53</v>
      </c>
      <c r="Y16" s="14" t="n">
        <v>44.59</v>
      </c>
      <c r="Z16" s="14" t="n">
        <v>0.36</v>
      </c>
      <c r="AA16" s="14" t="n">
        <v>0.03</v>
      </c>
      <c r="AB16" s="14" t="n">
        <v>0</v>
      </c>
      <c r="AC16" s="14" t="n">
        <v>0.03</v>
      </c>
      <c r="AD16" s="15" t="n">
        <f aca="false">H16*E16/1000</f>
        <v>0.05784</v>
      </c>
      <c r="AE16" s="15" t="n">
        <f aca="false">I16*E16/1000</f>
        <v>0</v>
      </c>
      <c r="AF16" s="16" t="n">
        <f aca="false">ROUND(S16+T16+U16+V16-W16,2)</f>
        <v>0</v>
      </c>
      <c r="AG16" s="16" t="n">
        <f aca="false">ROUND(X16-W16-Y16,2)</f>
        <v>0</v>
      </c>
    </row>
    <row r="17" customFormat="false" ht="15" hidden="false" customHeight="false" outlineLevel="0" collapsed="false">
      <c r="A17" s="13" t="s">
        <v>217</v>
      </c>
      <c r="B17" s="13" t="s">
        <v>218</v>
      </c>
      <c r="C17" s="13" t="s">
        <v>229</v>
      </c>
      <c r="D17" s="13" t="s">
        <v>230</v>
      </c>
      <c r="E17" s="14" t="n">
        <v>34.5</v>
      </c>
      <c r="F17" s="14" t="n">
        <v>142</v>
      </c>
      <c r="G17" s="14" t="n">
        <v>4.9</v>
      </c>
      <c r="H17" s="14"/>
      <c r="I17" s="14"/>
      <c r="J17" s="14" t="n">
        <v>69.03</v>
      </c>
      <c r="K17" s="14" t="n">
        <v>122.74</v>
      </c>
      <c r="L17" s="14" t="n">
        <v>1.91</v>
      </c>
      <c r="M17" s="14" t="n">
        <v>13.2</v>
      </c>
      <c r="N17" s="14" t="n">
        <v>3.9</v>
      </c>
      <c r="O17" s="14" t="n">
        <v>0.54</v>
      </c>
      <c r="P17" s="14" t="n">
        <v>1.5</v>
      </c>
      <c r="Q17" s="14"/>
      <c r="R17" s="14" t="n">
        <v>1.1</v>
      </c>
      <c r="S17" s="14" t="n">
        <v>144.89</v>
      </c>
      <c r="T17" s="14" t="n">
        <v>0.9</v>
      </c>
      <c r="U17" s="14" t="n">
        <v>10.74</v>
      </c>
      <c r="V17" s="14" t="n">
        <v>17.74</v>
      </c>
      <c r="W17" s="14" t="n">
        <v>174.28</v>
      </c>
      <c r="X17" s="14" t="n">
        <v>223.53</v>
      </c>
      <c r="Y17" s="14" t="n">
        <v>49.25</v>
      </c>
      <c r="Z17" s="14" t="n">
        <v>2.41</v>
      </c>
      <c r="AA17" s="14" t="n">
        <v>0</v>
      </c>
      <c r="AB17" s="14" t="n">
        <v>0</v>
      </c>
      <c r="AC17" s="14" t="n">
        <v>0</v>
      </c>
      <c r="AD17" s="15" t="n">
        <f aca="false">H17*E17/1000</f>
        <v>0</v>
      </c>
      <c r="AE17" s="15" t="n">
        <f aca="false">I17*E17/1000</f>
        <v>0</v>
      </c>
      <c r="AF17" s="16" t="n">
        <f aca="false">ROUND(S17+T17+U17+V17-W17,2)</f>
        <v>-0.01</v>
      </c>
      <c r="AG17" s="16" t="n">
        <f aca="false">ROUND(X17-W17-Y17,2)</f>
        <v>0</v>
      </c>
    </row>
    <row r="18" customFormat="false" ht="15" hidden="false" customHeight="false" outlineLevel="0" collapsed="false">
      <c r="A18" s="13" t="s">
        <v>217</v>
      </c>
      <c r="B18" s="13" t="s">
        <v>218</v>
      </c>
      <c r="C18" s="13" t="s">
        <v>229</v>
      </c>
      <c r="D18" s="13" t="s">
        <v>231</v>
      </c>
      <c r="E18" s="14" t="n">
        <v>26.17</v>
      </c>
      <c r="F18" s="14" t="n">
        <v>42</v>
      </c>
      <c r="G18" s="14" t="n">
        <v>1.1</v>
      </c>
      <c r="H18" s="14" t="n">
        <v>1</v>
      </c>
      <c r="I18" s="14"/>
      <c r="J18" s="14" t="n">
        <v>65.78</v>
      </c>
      <c r="K18" s="14" t="n">
        <v>123.07</v>
      </c>
      <c r="L18" s="14" t="n">
        <v>2.01</v>
      </c>
      <c r="M18" s="14" t="n">
        <v>15.46</v>
      </c>
      <c r="N18" s="14" t="n">
        <v>3.9</v>
      </c>
      <c r="O18" s="14" t="n">
        <v>0.45</v>
      </c>
      <c r="P18" s="14" t="n">
        <v>1.5</v>
      </c>
      <c r="Q18" s="14"/>
      <c r="R18" s="14" t="n">
        <v>1.1</v>
      </c>
      <c r="S18" s="14" t="n">
        <v>147.49</v>
      </c>
      <c r="T18" s="14" t="n">
        <v>0.9</v>
      </c>
      <c r="U18" s="14" t="n">
        <v>10.74</v>
      </c>
      <c r="V18" s="14" t="n">
        <v>18.22</v>
      </c>
      <c r="W18" s="14" t="n">
        <v>177.36</v>
      </c>
      <c r="X18" s="14" t="n">
        <v>223.53</v>
      </c>
      <c r="Y18" s="14" t="n">
        <v>46.17</v>
      </c>
      <c r="Z18" s="14" t="n">
        <v>0.48</v>
      </c>
      <c r="AA18" s="14" t="n">
        <v>0.01</v>
      </c>
      <c r="AB18" s="14" t="n">
        <v>0</v>
      </c>
      <c r="AC18" s="14" t="n">
        <v>0.01</v>
      </c>
      <c r="AD18" s="15" t="n">
        <f aca="false">H18*E18/1000</f>
        <v>0.02617</v>
      </c>
      <c r="AE18" s="15" t="n">
        <f aca="false">I18*E18/1000</f>
        <v>0</v>
      </c>
      <c r="AF18" s="16" t="n">
        <f aca="false">ROUND(S18+T18+U18+V18-W18,2)</f>
        <v>-0.01</v>
      </c>
      <c r="AG18" s="16" t="n">
        <f aca="false">ROUND(X18-W18-Y18,2)</f>
        <v>0</v>
      </c>
    </row>
    <row r="19" customFormat="false" ht="15" hidden="false" customHeight="false" outlineLevel="0" collapsed="false">
      <c r="A19" s="13" t="s">
        <v>217</v>
      </c>
      <c r="B19" s="13" t="s">
        <v>218</v>
      </c>
      <c r="C19" s="13" t="s">
        <v>229</v>
      </c>
      <c r="D19" s="13" t="s">
        <v>232</v>
      </c>
      <c r="E19" s="14" t="n">
        <v>50.5</v>
      </c>
      <c r="F19" s="14" t="n">
        <v>60</v>
      </c>
      <c r="G19" s="14" t="n">
        <v>3.03</v>
      </c>
      <c r="H19" s="14" t="n">
        <v>1</v>
      </c>
      <c r="I19" s="14"/>
      <c r="J19" s="14" t="n">
        <v>70.44</v>
      </c>
      <c r="K19" s="14" t="n">
        <v>122.61</v>
      </c>
      <c r="L19" s="14" t="n">
        <v>1.87</v>
      </c>
      <c r="M19" s="14" t="n">
        <v>13.67</v>
      </c>
      <c r="N19" s="14" t="n">
        <v>3.9</v>
      </c>
      <c r="O19" s="14" t="n">
        <v>0.45</v>
      </c>
      <c r="P19" s="14" t="n">
        <v>1.5</v>
      </c>
      <c r="Q19" s="14"/>
      <c r="R19" s="14" t="n">
        <v>1.1</v>
      </c>
      <c r="S19" s="14" t="n">
        <v>145.1</v>
      </c>
      <c r="T19" s="14" t="n">
        <v>0.9</v>
      </c>
      <c r="U19" s="14" t="n">
        <v>10.74</v>
      </c>
      <c r="V19" s="14" t="n">
        <v>17.55</v>
      </c>
      <c r="W19" s="14" t="n">
        <v>174.28</v>
      </c>
      <c r="X19" s="14" t="n">
        <v>223.53</v>
      </c>
      <c r="Y19" s="14" t="n">
        <v>49.25</v>
      </c>
      <c r="Z19" s="14" t="n">
        <v>1.44</v>
      </c>
      <c r="AA19" s="14" t="n">
        <v>0.02</v>
      </c>
      <c r="AB19" s="14" t="n">
        <v>0</v>
      </c>
      <c r="AC19" s="14" t="n">
        <v>0.02</v>
      </c>
      <c r="AD19" s="15" t="n">
        <f aca="false">H19*E19/1000</f>
        <v>0.0505</v>
      </c>
      <c r="AE19" s="15" t="n">
        <f aca="false">I19*E19/1000</f>
        <v>0</v>
      </c>
      <c r="AF19" s="16" t="n">
        <f aca="false">ROUND(S19+T19+U19+V19-W19,2)</f>
        <v>0.01</v>
      </c>
      <c r="AG19" s="16" t="n">
        <f aca="false">ROUND(X19-W19-Y19,2)</f>
        <v>0</v>
      </c>
    </row>
    <row r="20" customFormat="false" ht="15" hidden="false" customHeight="false" outlineLevel="0" collapsed="false">
      <c r="A20" s="13" t="s">
        <v>217</v>
      </c>
      <c r="B20" s="13" t="s">
        <v>218</v>
      </c>
      <c r="C20" s="13" t="s">
        <v>229</v>
      </c>
      <c r="D20" s="13" t="s">
        <v>233</v>
      </c>
      <c r="E20" s="14" t="n">
        <v>22.5</v>
      </c>
      <c r="F20" s="14" t="n">
        <v>70</v>
      </c>
      <c r="G20" s="14" t="n">
        <v>1.58</v>
      </c>
      <c r="H20" s="14"/>
      <c r="I20" s="14"/>
      <c r="J20" s="14" t="n">
        <v>63.96</v>
      </c>
      <c r="K20" s="14" t="n">
        <v>123.27</v>
      </c>
      <c r="L20" s="14" t="n">
        <v>2.06</v>
      </c>
      <c r="M20" s="14" t="n">
        <v>15.66</v>
      </c>
      <c r="N20" s="14" t="n">
        <v>3.9</v>
      </c>
      <c r="O20" s="14" t="n">
        <v>0.45</v>
      </c>
      <c r="P20" s="14" t="n">
        <v>1.5</v>
      </c>
      <c r="Q20" s="14"/>
      <c r="R20" s="14" t="n">
        <v>1.1</v>
      </c>
      <c r="S20" s="14" t="n">
        <v>147.95</v>
      </c>
      <c r="T20" s="14" t="n">
        <v>0.9</v>
      </c>
      <c r="U20" s="14" t="n">
        <v>10.74</v>
      </c>
      <c r="V20" s="14" t="n">
        <v>18.52</v>
      </c>
      <c r="W20" s="14" t="n">
        <v>178.1</v>
      </c>
      <c r="X20" s="14" t="n">
        <v>223.53</v>
      </c>
      <c r="Y20" s="14" t="n">
        <v>45.43</v>
      </c>
      <c r="Z20" s="14" t="n">
        <v>0.72</v>
      </c>
      <c r="AA20" s="14" t="n">
        <v>0</v>
      </c>
      <c r="AB20" s="14" t="n">
        <v>0</v>
      </c>
      <c r="AC20" s="14" t="n">
        <v>0</v>
      </c>
      <c r="AD20" s="15" t="n">
        <f aca="false">H20*E20/1000</f>
        <v>0</v>
      </c>
      <c r="AE20" s="15" t="n">
        <f aca="false">I20*E20/1000</f>
        <v>0</v>
      </c>
      <c r="AF20" s="16" t="n">
        <f aca="false">ROUND(S20+T20+U20+V20-W20,2)</f>
        <v>0.01</v>
      </c>
      <c r="AG20" s="16" t="n">
        <f aca="false">ROUND(X20-W20-Y20,2)</f>
        <v>0</v>
      </c>
    </row>
    <row r="21" customFormat="false" ht="15" hidden="false" customHeight="false" outlineLevel="0" collapsed="false">
      <c r="A21" s="13" t="s">
        <v>217</v>
      </c>
      <c r="B21" s="13" t="s">
        <v>218</v>
      </c>
      <c r="C21" s="13" t="s">
        <v>234</v>
      </c>
      <c r="D21" s="13" t="s">
        <v>230</v>
      </c>
      <c r="E21" s="14" t="n">
        <v>34.5</v>
      </c>
      <c r="F21" s="14" t="n">
        <v>4</v>
      </c>
      <c r="G21" s="14" t="n">
        <v>0.14</v>
      </c>
      <c r="H21" s="14" t="n">
        <v>1</v>
      </c>
      <c r="I21" s="14"/>
      <c r="J21" s="14" t="n">
        <v>69.03</v>
      </c>
      <c r="K21" s="14" t="n">
        <v>107.83</v>
      </c>
      <c r="L21" s="14" t="n">
        <v>1.91</v>
      </c>
      <c r="M21" s="14" t="n">
        <v>11.08</v>
      </c>
      <c r="N21" s="14" t="n">
        <v>3.9</v>
      </c>
      <c r="O21" s="14" t="n">
        <v>0.54</v>
      </c>
      <c r="P21" s="14" t="n">
        <v>1.5</v>
      </c>
      <c r="Q21" s="14"/>
      <c r="R21" s="14" t="n">
        <v>1.1</v>
      </c>
      <c r="S21" s="14" t="n">
        <v>127.86</v>
      </c>
      <c r="T21" s="14" t="n">
        <v>0.9</v>
      </c>
      <c r="U21" s="14" t="n">
        <v>10.74</v>
      </c>
      <c r="V21" s="14" t="n">
        <v>16.7</v>
      </c>
      <c r="W21" s="14" t="n">
        <v>156.2</v>
      </c>
      <c r="X21" s="14" t="n">
        <v>223.53</v>
      </c>
      <c r="Y21" s="14" t="n">
        <v>67.33</v>
      </c>
      <c r="Z21" s="14" t="n">
        <v>0.06</v>
      </c>
      <c r="AA21" s="14" t="n">
        <v>0.01</v>
      </c>
      <c r="AB21" s="14" t="n">
        <v>0</v>
      </c>
      <c r="AC21" s="14" t="n">
        <v>0.02</v>
      </c>
      <c r="AD21" s="15" t="n">
        <f aca="false">H21*E21/1000</f>
        <v>0.0345</v>
      </c>
      <c r="AE21" s="15" t="n">
        <f aca="false">I21*E21/1000</f>
        <v>0</v>
      </c>
      <c r="AF21" s="16" t="n">
        <f aca="false">ROUND(S21+T21+U21+V21-W21,2)</f>
        <v>0</v>
      </c>
      <c r="AG21" s="16" t="n">
        <f aca="false">ROUND(X21-W21-Y21,2)</f>
        <v>0</v>
      </c>
    </row>
    <row r="22" customFormat="false" ht="15" hidden="false" customHeight="false" outlineLevel="0" collapsed="false">
      <c r="A22" s="13" t="s">
        <v>217</v>
      </c>
      <c r="B22" s="13" t="s">
        <v>218</v>
      </c>
      <c r="C22" s="13" t="s">
        <v>234</v>
      </c>
      <c r="D22" s="13" t="s">
        <v>231</v>
      </c>
      <c r="E22" s="14" t="n">
        <v>26.17</v>
      </c>
      <c r="F22" s="14" t="n">
        <v>4</v>
      </c>
      <c r="G22" s="14" t="n">
        <v>0.1</v>
      </c>
      <c r="H22" s="14" t="n">
        <v>1</v>
      </c>
      <c r="I22" s="14"/>
      <c r="J22" s="14" t="n">
        <v>65.78</v>
      </c>
      <c r="K22" s="14" t="n">
        <v>108.12</v>
      </c>
      <c r="L22" s="14" t="n">
        <v>2.01</v>
      </c>
      <c r="M22" s="14" t="n">
        <v>13.06</v>
      </c>
      <c r="N22" s="14" t="n">
        <v>3.9</v>
      </c>
      <c r="O22" s="14" t="n">
        <v>0.45</v>
      </c>
      <c r="P22" s="14" t="n">
        <v>1.5</v>
      </c>
      <c r="Q22" s="14"/>
      <c r="R22" s="14" t="n">
        <v>1.1</v>
      </c>
      <c r="S22" s="14" t="n">
        <v>130.13</v>
      </c>
      <c r="T22" s="14" t="n">
        <v>0.9</v>
      </c>
      <c r="U22" s="14" t="n">
        <v>10.74</v>
      </c>
      <c r="V22" s="14" t="n">
        <v>17.15</v>
      </c>
      <c r="W22" s="14" t="n">
        <v>158.92</v>
      </c>
      <c r="X22" s="14" t="n">
        <v>223.53</v>
      </c>
      <c r="Y22" s="14" t="n">
        <v>64.61</v>
      </c>
      <c r="Z22" s="14" t="n">
        <v>0.04</v>
      </c>
      <c r="AA22" s="14" t="n">
        <v>0.01</v>
      </c>
      <c r="AB22" s="14" t="n">
        <v>0</v>
      </c>
      <c r="AC22" s="14" t="n">
        <v>0.02</v>
      </c>
      <c r="AD22" s="15" t="n">
        <f aca="false">H22*E22/1000</f>
        <v>0.02617</v>
      </c>
      <c r="AE22" s="15" t="n">
        <f aca="false">I22*E22/1000</f>
        <v>0</v>
      </c>
      <c r="AF22" s="16" t="n">
        <f aca="false">ROUND(S22+T22+U22+V22-W22,2)</f>
        <v>0</v>
      </c>
      <c r="AG22" s="16" t="n">
        <f aca="false">ROUND(X22-W22-Y22,2)</f>
        <v>0</v>
      </c>
    </row>
    <row r="23" customFormat="false" ht="15" hidden="false" customHeight="false" outlineLevel="0" collapsed="false">
      <c r="A23" s="13" t="s">
        <v>217</v>
      </c>
      <c r="B23" s="13" t="s">
        <v>218</v>
      </c>
      <c r="C23" s="13" t="s">
        <v>234</v>
      </c>
      <c r="D23" s="13" t="s">
        <v>232</v>
      </c>
      <c r="E23" s="14" t="n">
        <v>50.5</v>
      </c>
      <c r="F23" s="14" t="n">
        <v>66</v>
      </c>
      <c r="G23" s="14" t="n">
        <v>3.33</v>
      </c>
      <c r="H23" s="14" t="n">
        <v>5</v>
      </c>
      <c r="I23" s="14"/>
      <c r="J23" s="14" t="n">
        <v>70.44</v>
      </c>
      <c r="K23" s="14" t="n">
        <v>107.71</v>
      </c>
      <c r="L23" s="14" t="n">
        <v>1.87</v>
      </c>
      <c r="M23" s="14" t="n">
        <v>11.35</v>
      </c>
      <c r="N23" s="14" t="n">
        <v>3.9</v>
      </c>
      <c r="O23" s="14" t="n">
        <v>0.45</v>
      </c>
      <c r="P23" s="14" t="n">
        <v>1.5</v>
      </c>
      <c r="Q23" s="14"/>
      <c r="R23" s="14" t="n">
        <v>1.1</v>
      </c>
      <c r="S23" s="14" t="n">
        <v>127.88</v>
      </c>
      <c r="T23" s="14" t="n">
        <v>0.9</v>
      </c>
      <c r="U23" s="14" t="n">
        <v>10.74</v>
      </c>
      <c r="V23" s="14" t="n">
        <v>16.51</v>
      </c>
      <c r="W23" s="14" t="n">
        <v>156.04</v>
      </c>
      <c r="X23" s="14" t="n">
        <v>223.53</v>
      </c>
      <c r="Y23" s="14" t="n">
        <v>67.49</v>
      </c>
      <c r="Z23" s="14" t="n">
        <v>1.98</v>
      </c>
      <c r="AA23" s="14" t="n">
        <v>0.1</v>
      </c>
      <c r="AB23" s="14" t="n">
        <v>0</v>
      </c>
      <c r="AC23" s="14" t="n">
        <v>0.17</v>
      </c>
      <c r="AD23" s="15" t="n">
        <f aca="false">H23*E23/1000</f>
        <v>0.2525</v>
      </c>
      <c r="AE23" s="15" t="n">
        <f aca="false">I23*E23/1000</f>
        <v>0</v>
      </c>
      <c r="AF23" s="16" t="n">
        <f aca="false">ROUND(S23+T23+U23+V23-W23,2)</f>
        <v>-0.01</v>
      </c>
      <c r="AG23" s="16" t="n">
        <f aca="false">ROUND(X23-W23-Y23,2)</f>
        <v>0</v>
      </c>
    </row>
    <row r="24" customFormat="false" ht="15" hidden="false" customHeight="false" outlineLevel="0" collapsed="false">
      <c r="A24" s="13" t="s">
        <v>217</v>
      </c>
      <c r="B24" s="13" t="s">
        <v>218</v>
      </c>
      <c r="C24" s="13" t="s">
        <v>234</v>
      </c>
      <c r="D24" s="13" t="s">
        <v>233</v>
      </c>
      <c r="E24" s="14" t="n">
        <v>22.5</v>
      </c>
      <c r="F24" s="14" t="n">
        <v>6</v>
      </c>
      <c r="G24" s="14" t="n">
        <v>0.14</v>
      </c>
      <c r="H24" s="14"/>
      <c r="I24" s="14"/>
      <c r="J24" s="14" t="n">
        <v>63.96</v>
      </c>
      <c r="K24" s="14" t="n">
        <v>108.29</v>
      </c>
      <c r="L24" s="14" t="n">
        <v>2.06</v>
      </c>
      <c r="M24" s="14" t="n">
        <v>12.99</v>
      </c>
      <c r="N24" s="14" t="n">
        <v>3.9</v>
      </c>
      <c r="O24" s="14" t="n">
        <v>0.45</v>
      </c>
      <c r="P24" s="14" t="n">
        <v>1.5</v>
      </c>
      <c r="Q24" s="14"/>
      <c r="R24" s="14" t="n">
        <v>1.1</v>
      </c>
      <c r="S24" s="14" t="n">
        <v>130.29</v>
      </c>
      <c r="T24" s="14" t="n">
        <v>0.9</v>
      </c>
      <c r="U24" s="14" t="n">
        <v>10.74</v>
      </c>
      <c r="V24" s="14" t="n">
        <v>17.43</v>
      </c>
      <c r="W24" s="14" t="n">
        <v>159.36</v>
      </c>
      <c r="X24" s="14" t="n">
        <v>223.53</v>
      </c>
      <c r="Y24" s="14" t="n">
        <v>64.17</v>
      </c>
      <c r="Z24" s="14" t="n">
        <v>0.09</v>
      </c>
      <c r="AA24" s="14" t="n">
        <v>0</v>
      </c>
      <c r="AB24" s="14" t="n">
        <v>0</v>
      </c>
      <c r="AC24" s="14" t="n">
        <v>0</v>
      </c>
      <c r="AD24" s="15" t="n">
        <f aca="false">H24*E24/1000</f>
        <v>0</v>
      </c>
      <c r="AE24" s="15" t="n">
        <f aca="false">I24*E24/1000</f>
        <v>0</v>
      </c>
      <c r="AF24" s="16" t="n">
        <f aca="false">ROUND(S24+T24+U24+V24-W24,2)</f>
        <v>0</v>
      </c>
      <c r="AG24" s="16" t="n">
        <f aca="false">ROUND(X24-W24-Y24,2)</f>
        <v>0</v>
      </c>
    </row>
    <row r="25" customFormat="false" ht="15" hidden="false" customHeight="false" outlineLevel="0" collapsed="false">
      <c r="A25" s="13" t="s">
        <v>217</v>
      </c>
      <c r="B25" s="13" t="s">
        <v>218</v>
      </c>
      <c r="C25" s="13" t="s">
        <v>235</v>
      </c>
      <c r="D25" s="13" t="s">
        <v>220</v>
      </c>
      <c r="E25" s="14" t="n">
        <v>18.75</v>
      </c>
      <c r="F25" s="14" t="n">
        <v>8</v>
      </c>
      <c r="G25" s="14" t="n">
        <v>0.15</v>
      </c>
      <c r="H25" s="14"/>
      <c r="I25" s="14"/>
      <c r="J25" s="14" t="n">
        <v>59.61</v>
      </c>
      <c r="K25" s="14" t="n">
        <v>147</v>
      </c>
      <c r="L25" s="14" t="n">
        <v>2.21</v>
      </c>
      <c r="M25" s="14" t="n">
        <v>20.46</v>
      </c>
      <c r="N25" s="14" t="n">
        <v>3.9</v>
      </c>
      <c r="O25" s="14" t="n">
        <v>0.45</v>
      </c>
      <c r="P25" s="14" t="n">
        <v>1.5</v>
      </c>
      <c r="Q25" s="14"/>
      <c r="R25" s="14" t="n">
        <v>1.1</v>
      </c>
      <c r="S25" s="14" t="n">
        <v>176.63</v>
      </c>
      <c r="T25" s="14" t="n">
        <v>0.9</v>
      </c>
      <c r="U25" s="14" t="n">
        <v>10.74</v>
      </c>
      <c r="V25" s="14" t="n">
        <v>17.17</v>
      </c>
      <c r="W25" s="14" t="n">
        <v>205.44</v>
      </c>
      <c r="X25" s="14" t="n">
        <v>229.13</v>
      </c>
      <c r="Y25" s="14" t="n">
        <v>23.69</v>
      </c>
      <c r="Z25" s="14" t="n">
        <v>0.04</v>
      </c>
      <c r="AA25" s="14" t="n">
        <v>0</v>
      </c>
      <c r="AB25" s="14" t="n">
        <v>0</v>
      </c>
      <c r="AC25" s="14" t="n">
        <v>0</v>
      </c>
      <c r="AD25" s="15" t="n">
        <f aca="false">H25*E25/1000</f>
        <v>0</v>
      </c>
      <c r="AE25" s="15" t="n">
        <f aca="false">I25*E25/1000</f>
        <v>0</v>
      </c>
      <c r="AF25" s="16" t="n">
        <f aca="false">ROUND(S25+T25+U25+V25-W25,2)</f>
        <v>0</v>
      </c>
      <c r="AG25" s="16" t="n">
        <f aca="false">ROUND(X25-W25-Y25,2)</f>
        <v>0</v>
      </c>
    </row>
    <row r="26" customFormat="false" ht="15" hidden="false" customHeight="false" outlineLevel="0" collapsed="false">
      <c r="A26" s="13" t="s">
        <v>217</v>
      </c>
      <c r="B26" s="13" t="s">
        <v>218</v>
      </c>
      <c r="C26" s="13" t="s">
        <v>235</v>
      </c>
      <c r="D26" s="13" t="s">
        <v>221</v>
      </c>
      <c r="E26" s="14" t="n">
        <v>25</v>
      </c>
      <c r="F26" s="14" t="n">
        <v>126</v>
      </c>
      <c r="G26" s="14" t="n">
        <v>3.15</v>
      </c>
      <c r="H26" s="14" t="n">
        <v>6</v>
      </c>
      <c r="I26" s="14"/>
      <c r="J26" s="14" t="n">
        <v>63.85</v>
      </c>
      <c r="K26" s="14" t="n">
        <v>146.39</v>
      </c>
      <c r="L26" s="14" t="n">
        <v>2.07</v>
      </c>
      <c r="M26" s="14" t="n">
        <v>20.53</v>
      </c>
      <c r="N26" s="14" t="n">
        <v>3.9</v>
      </c>
      <c r="O26" s="14" t="n">
        <v>0.45</v>
      </c>
      <c r="P26" s="14" t="n">
        <v>1.5</v>
      </c>
      <c r="Q26" s="14"/>
      <c r="R26" s="14" t="n">
        <v>1.1</v>
      </c>
      <c r="S26" s="14" t="n">
        <v>175.94</v>
      </c>
      <c r="T26" s="14" t="n">
        <v>0.9</v>
      </c>
      <c r="U26" s="14" t="n">
        <v>10.74</v>
      </c>
      <c r="V26" s="14" t="n">
        <v>16.5</v>
      </c>
      <c r="W26" s="14" t="n">
        <v>204.08</v>
      </c>
      <c r="X26" s="14" t="n">
        <v>229.13</v>
      </c>
      <c r="Y26" s="14" t="n">
        <v>25.05</v>
      </c>
      <c r="Z26" s="14" t="n">
        <v>0.67</v>
      </c>
      <c r="AA26" s="14" t="n">
        <v>0.08</v>
      </c>
      <c r="AB26" s="14" t="n">
        <v>0</v>
      </c>
      <c r="AC26" s="14" t="n">
        <v>0.04</v>
      </c>
      <c r="AD26" s="15" t="n">
        <f aca="false">H26*E26/1000</f>
        <v>0.15</v>
      </c>
      <c r="AE26" s="15" t="n">
        <f aca="false">I26*E26/1000</f>
        <v>0</v>
      </c>
      <c r="AF26" s="16" t="n">
        <f aca="false">ROUND(S26+T26+U26+V26-W26,2)</f>
        <v>0</v>
      </c>
      <c r="AG26" s="16" t="n">
        <f aca="false">ROUND(X26-W26-Y26,2)</f>
        <v>0</v>
      </c>
    </row>
    <row r="27" customFormat="false" ht="15" hidden="false" customHeight="false" outlineLevel="0" collapsed="false">
      <c r="A27" s="13" t="s">
        <v>217</v>
      </c>
      <c r="B27" s="13" t="s">
        <v>218</v>
      </c>
      <c r="C27" s="13" t="s">
        <v>235</v>
      </c>
      <c r="D27" s="13" t="s">
        <v>222</v>
      </c>
      <c r="E27" s="14" t="n">
        <v>20.7</v>
      </c>
      <c r="F27" s="14" t="n">
        <v>64</v>
      </c>
      <c r="G27" s="14" t="n">
        <v>1.3248</v>
      </c>
      <c r="H27" s="14"/>
      <c r="I27" s="14"/>
      <c r="J27" s="14" t="n">
        <v>59.04</v>
      </c>
      <c r="K27" s="14" t="n">
        <v>147.09</v>
      </c>
      <c r="L27" s="14" t="n">
        <v>2.24</v>
      </c>
      <c r="M27" s="14" t="n">
        <v>18.87</v>
      </c>
      <c r="N27" s="14" t="n">
        <v>3.9</v>
      </c>
      <c r="O27" s="14" t="n">
        <v>0.45</v>
      </c>
      <c r="P27" s="14" t="n">
        <v>1.5</v>
      </c>
      <c r="Q27" s="14"/>
      <c r="R27" s="14" t="n">
        <v>1.1</v>
      </c>
      <c r="S27" s="14" t="n">
        <v>175.14</v>
      </c>
      <c r="T27" s="14" t="n">
        <v>0.9</v>
      </c>
      <c r="U27" s="14" t="n">
        <v>10.74</v>
      </c>
      <c r="V27" s="14" t="n">
        <v>17.27</v>
      </c>
      <c r="W27" s="14" t="n">
        <v>204.05</v>
      </c>
      <c r="X27" s="14" t="n">
        <v>229.13</v>
      </c>
      <c r="Y27" s="14" t="n">
        <v>25.08</v>
      </c>
      <c r="Z27" s="14" t="n">
        <v>0.33</v>
      </c>
      <c r="AA27" s="14" t="n">
        <v>0</v>
      </c>
      <c r="AB27" s="14" t="n">
        <v>0</v>
      </c>
      <c r="AC27" s="14" t="n">
        <v>0</v>
      </c>
      <c r="AD27" s="15" t="n">
        <f aca="false">H27*E27/1000</f>
        <v>0</v>
      </c>
      <c r="AE27" s="15" t="n">
        <f aca="false">I27*E27/1000</f>
        <v>0</v>
      </c>
      <c r="AF27" s="16" t="n">
        <f aca="false">ROUND(S27+T27+U27+V27-W27,2)</f>
        <v>0</v>
      </c>
      <c r="AG27" s="16" t="n">
        <f aca="false">ROUND(X27-W27-Y27,2)</f>
        <v>0</v>
      </c>
    </row>
    <row r="28" customFormat="false" ht="15" hidden="false" customHeight="false" outlineLevel="0" collapsed="false">
      <c r="A28" s="13" t="s">
        <v>217</v>
      </c>
      <c r="B28" s="13" t="s">
        <v>218</v>
      </c>
      <c r="C28" s="13" t="s">
        <v>235</v>
      </c>
      <c r="D28" s="13" t="s">
        <v>236</v>
      </c>
      <c r="E28" s="14" t="n">
        <v>31.66</v>
      </c>
      <c r="F28" s="14" t="n">
        <v>8</v>
      </c>
      <c r="G28" s="14" t="n">
        <v>0.2533</v>
      </c>
      <c r="H28" s="14"/>
      <c r="I28" s="14"/>
      <c r="J28" s="14" t="n">
        <v>61.09</v>
      </c>
      <c r="K28" s="14" t="n">
        <v>146.78</v>
      </c>
      <c r="L28" s="14" t="n">
        <v>2.16</v>
      </c>
      <c r="M28" s="14" t="n">
        <v>15.57</v>
      </c>
      <c r="N28" s="14" t="n">
        <v>3.9</v>
      </c>
      <c r="O28" s="14" t="n">
        <v>0.45</v>
      </c>
      <c r="P28" s="14" t="n">
        <v>1.5</v>
      </c>
      <c r="Q28" s="14"/>
      <c r="R28" s="14" t="n">
        <v>1.1</v>
      </c>
      <c r="S28" s="14" t="n">
        <v>171.46</v>
      </c>
      <c r="T28" s="14" t="n">
        <v>0.9</v>
      </c>
      <c r="U28" s="14" t="n">
        <v>10.74</v>
      </c>
      <c r="V28" s="14" t="n">
        <v>16.93</v>
      </c>
      <c r="W28" s="14" t="n">
        <v>200.03</v>
      </c>
      <c r="X28" s="14" t="n">
        <v>244</v>
      </c>
      <c r="Y28" s="14" t="n">
        <v>43.97</v>
      </c>
      <c r="Z28" s="14" t="n">
        <v>0.11</v>
      </c>
      <c r="AA28" s="14" t="n">
        <v>0</v>
      </c>
      <c r="AB28" s="14" t="n">
        <v>0</v>
      </c>
      <c r="AC28" s="14" t="n">
        <v>0</v>
      </c>
      <c r="AD28" s="15" t="n">
        <f aca="false">H28*E28/1000</f>
        <v>0</v>
      </c>
      <c r="AE28" s="15" t="n">
        <f aca="false">I28*E28/1000</f>
        <v>0</v>
      </c>
      <c r="AF28" s="16" t="n">
        <f aca="false">ROUND(S28+T28+U28+V28-W28,2)</f>
        <v>0</v>
      </c>
      <c r="AG28" s="16" t="n">
        <f aca="false">ROUND(X28-W28-Y28,2)</f>
        <v>0</v>
      </c>
    </row>
    <row r="29" customFormat="false" ht="15" hidden="false" customHeight="false" outlineLevel="0" collapsed="false">
      <c r="A29" s="13" t="s">
        <v>217</v>
      </c>
      <c r="B29" s="13" t="s">
        <v>218</v>
      </c>
      <c r="C29" s="13" t="s">
        <v>235</v>
      </c>
      <c r="D29" s="13" t="s">
        <v>237</v>
      </c>
      <c r="E29" s="14" t="n">
        <v>25</v>
      </c>
      <c r="F29" s="14" t="n">
        <v>6</v>
      </c>
      <c r="G29" s="14" t="n">
        <v>0.15</v>
      </c>
      <c r="H29" s="14"/>
      <c r="I29" s="14"/>
      <c r="J29" s="14" t="n">
        <v>58.82</v>
      </c>
      <c r="K29" s="14" t="n">
        <v>147.13</v>
      </c>
      <c r="L29" s="14" t="n">
        <v>2.24</v>
      </c>
      <c r="M29" s="14" t="n">
        <v>15.28</v>
      </c>
      <c r="N29" s="14" t="n">
        <v>3.9</v>
      </c>
      <c r="O29" s="14" t="n">
        <v>0.45</v>
      </c>
      <c r="P29" s="14" t="n">
        <v>1.5</v>
      </c>
      <c r="Q29" s="14"/>
      <c r="R29" s="14" t="n">
        <v>1.1</v>
      </c>
      <c r="S29" s="14" t="n">
        <v>171.6</v>
      </c>
      <c r="T29" s="14" t="n">
        <v>0.9</v>
      </c>
      <c r="U29" s="14" t="n">
        <v>10.74</v>
      </c>
      <c r="V29" s="14" t="n">
        <v>17.3</v>
      </c>
      <c r="W29" s="14" t="n">
        <v>200.54</v>
      </c>
      <c r="X29" s="14" t="n">
        <v>244</v>
      </c>
      <c r="Y29" s="14" t="n">
        <v>43.46</v>
      </c>
      <c r="Z29" s="14" t="n">
        <v>0.07</v>
      </c>
      <c r="AA29" s="14" t="n">
        <v>0</v>
      </c>
      <c r="AB29" s="14" t="n">
        <v>0</v>
      </c>
      <c r="AC29" s="14" t="n">
        <v>0</v>
      </c>
      <c r="AD29" s="15" t="n">
        <f aca="false">H29*E29/1000</f>
        <v>0</v>
      </c>
      <c r="AE29" s="15" t="n">
        <f aca="false">I29*E29/1000</f>
        <v>0</v>
      </c>
      <c r="AF29" s="16" t="n">
        <f aca="false">ROUND(S29+T29+U29+V29-W29,2)</f>
        <v>0</v>
      </c>
      <c r="AG29" s="16" t="n">
        <f aca="false">ROUND(X29-W29-Y29,2)</f>
        <v>0</v>
      </c>
    </row>
    <row r="30" customFormat="false" ht="15" hidden="false" customHeight="false" outlineLevel="0" collapsed="false">
      <c r="A30" s="13" t="s">
        <v>217</v>
      </c>
      <c r="B30" s="13" t="s">
        <v>218</v>
      </c>
      <c r="C30" s="13" t="s">
        <v>235</v>
      </c>
      <c r="D30" s="13" t="s">
        <v>238</v>
      </c>
      <c r="E30" s="14" t="n">
        <v>34</v>
      </c>
      <c r="F30" s="14" t="n">
        <v>4</v>
      </c>
      <c r="G30" s="14" t="n">
        <v>0.136</v>
      </c>
      <c r="H30" s="14"/>
      <c r="I30" s="14"/>
      <c r="J30" s="14" t="n">
        <v>66.4</v>
      </c>
      <c r="K30" s="14" t="n">
        <v>146.06</v>
      </c>
      <c r="L30" s="14" t="n">
        <v>1.99</v>
      </c>
      <c r="M30" s="14" t="n">
        <v>14.64</v>
      </c>
      <c r="N30" s="14" t="n">
        <v>3.9</v>
      </c>
      <c r="O30" s="14" t="n">
        <v>0.45</v>
      </c>
      <c r="P30" s="14" t="n">
        <v>1.5</v>
      </c>
      <c r="Q30" s="14"/>
      <c r="R30" s="14" t="n">
        <v>1.1</v>
      </c>
      <c r="S30" s="14" t="n">
        <v>169.64</v>
      </c>
      <c r="T30" s="14" t="n">
        <v>0.9</v>
      </c>
      <c r="U30" s="14" t="n">
        <v>10.74</v>
      </c>
      <c r="V30" s="14" t="n">
        <v>16.14</v>
      </c>
      <c r="W30" s="14" t="n">
        <v>197.42</v>
      </c>
      <c r="X30" s="14" t="n">
        <v>244</v>
      </c>
      <c r="Y30" s="14" t="n">
        <v>46.58</v>
      </c>
      <c r="Z30" s="14" t="n">
        <v>0.06</v>
      </c>
      <c r="AA30" s="14" t="n">
        <v>0</v>
      </c>
      <c r="AB30" s="14" t="n">
        <v>0</v>
      </c>
      <c r="AC30" s="14" t="n">
        <v>0</v>
      </c>
      <c r="AD30" s="15" t="n">
        <f aca="false">H30*E30/1000</f>
        <v>0</v>
      </c>
      <c r="AE30" s="15" t="n">
        <f aca="false">I30*E30/1000</f>
        <v>0</v>
      </c>
      <c r="AF30" s="16" t="n">
        <f aca="false">ROUND(S30+T30+U30+V30-W30,2)</f>
        <v>0</v>
      </c>
      <c r="AG30" s="16" t="n">
        <f aca="false">ROUND(X30-W30-Y30,2)</f>
        <v>0</v>
      </c>
    </row>
    <row r="31" customFormat="false" ht="15" hidden="false" customHeight="false" outlineLevel="0" collapsed="false">
      <c r="A31" s="13" t="s">
        <v>217</v>
      </c>
      <c r="B31" s="13" t="s">
        <v>218</v>
      </c>
      <c r="C31" s="13" t="s">
        <v>235</v>
      </c>
      <c r="D31" s="13" t="s">
        <v>239</v>
      </c>
      <c r="E31" s="14" t="n">
        <v>23</v>
      </c>
      <c r="F31" s="14" t="n">
        <v>6</v>
      </c>
      <c r="G31" s="14" t="n">
        <v>0.138</v>
      </c>
      <c r="H31" s="14"/>
      <c r="I31" s="14"/>
      <c r="J31" s="14" t="n">
        <v>61.5</v>
      </c>
      <c r="K31" s="14" t="n">
        <v>146.72</v>
      </c>
      <c r="L31" s="14" t="n">
        <v>2.15</v>
      </c>
      <c r="M31" s="14" t="n">
        <v>15.9</v>
      </c>
      <c r="N31" s="14" t="n">
        <v>3.9</v>
      </c>
      <c r="O31" s="14" t="n">
        <v>0.45</v>
      </c>
      <c r="P31" s="14" t="n">
        <v>1.5</v>
      </c>
      <c r="Q31" s="14"/>
      <c r="R31" s="14" t="n">
        <v>1.1</v>
      </c>
      <c r="S31" s="14" t="n">
        <v>171.71</v>
      </c>
      <c r="T31" s="14" t="n">
        <v>0.9</v>
      </c>
      <c r="U31" s="14" t="n">
        <v>10.74</v>
      </c>
      <c r="V31" s="14" t="n">
        <v>16.86</v>
      </c>
      <c r="W31" s="14" t="n">
        <v>200.21</v>
      </c>
      <c r="X31" s="14" t="n">
        <v>244</v>
      </c>
      <c r="Y31" s="14" t="n">
        <v>43.79</v>
      </c>
      <c r="Z31" s="14" t="n">
        <v>0.06</v>
      </c>
      <c r="AA31" s="14" t="n">
        <v>0</v>
      </c>
      <c r="AB31" s="14" t="n">
        <v>0</v>
      </c>
      <c r="AC31" s="14" t="n">
        <v>0</v>
      </c>
      <c r="AD31" s="15" t="n">
        <f aca="false">H31*E31/1000</f>
        <v>0</v>
      </c>
      <c r="AE31" s="15" t="n">
        <f aca="false">I31*E31/1000</f>
        <v>0</v>
      </c>
      <c r="AF31" s="16" t="n">
        <f aca="false">ROUND(S31+T31+U31+V31-W31,2)</f>
        <v>0</v>
      </c>
      <c r="AG31" s="16" t="n">
        <f aca="false">ROUND(X31-W31-Y31,2)</f>
        <v>0</v>
      </c>
    </row>
    <row r="32" customFormat="false" ht="15" hidden="false" customHeight="false" outlineLevel="0" collapsed="false">
      <c r="A32" s="13" t="s">
        <v>217</v>
      </c>
      <c r="B32" s="13" t="s">
        <v>218</v>
      </c>
      <c r="C32" s="13" t="s">
        <v>235</v>
      </c>
      <c r="D32" s="13" t="s">
        <v>227</v>
      </c>
      <c r="E32" s="14" t="n">
        <v>18</v>
      </c>
      <c r="F32" s="14" t="n">
        <v>1</v>
      </c>
      <c r="G32" s="14" t="n">
        <v>0.018</v>
      </c>
      <c r="H32" s="14"/>
      <c r="I32" s="14"/>
      <c r="J32" s="14" t="n">
        <v>64.17</v>
      </c>
      <c r="K32" s="14" t="n">
        <v>146.35</v>
      </c>
      <c r="L32" s="14" t="n">
        <v>2.06</v>
      </c>
      <c r="M32" s="14" t="n">
        <v>16.68</v>
      </c>
      <c r="N32" s="14" t="n">
        <v>3.9</v>
      </c>
      <c r="O32" s="14" t="n">
        <v>0.45</v>
      </c>
      <c r="P32" s="14" t="n">
        <v>1.5</v>
      </c>
      <c r="Q32" s="14"/>
      <c r="R32" s="14" t="n">
        <v>1.1</v>
      </c>
      <c r="S32" s="14" t="n">
        <v>172.04</v>
      </c>
      <c r="T32" s="14" t="n">
        <v>0.9</v>
      </c>
      <c r="U32" s="14" t="n">
        <v>10.74</v>
      </c>
      <c r="V32" s="14" t="n">
        <v>16.46</v>
      </c>
      <c r="W32" s="14" t="n">
        <v>200.13</v>
      </c>
      <c r="X32" s="14" t="n">
        <v>229.13</v>
      </c>
      <c r="Y32" s="14" t="n">
        <v>29</v>
      </c>
      <c r="Z32" s="14" t="n">
        <v>0.01</v>
      </c>
      <c r="AA32" s="14" t="n">
        <v>0</v>
      </c>
      <c r="AB32" s="14" t="n">
        <v>0</v>
      </c>
      <c r="AC32" s="14" t="n">
        <v>0</v>
      </c>
      <c r="AD32" s="15" t="n">
        <f aca="false">H32*E32/1000</f>
        <v>0</v>
      </c>
      <c r="AE32" s="15" t="n">
        <f aca="false">I32*E32/1000</f>
        <v>0</v>
      </c>
      <c r="AF32" s="16" t="n">
        <f aca="false">ROUND(S32+T32+U32+V32-W32,2)</f>
        <v>0.01</v>
      </c>
      <c r="AG32" s="16" t="n">
        <f aca="false">ROUND(X32-W32-Y32,2)</f>
        <v>0</v>
      </c>
    </row>
    <row r="33" customFormat="false" ht="15" hidden="false" customHeight="false" outlineLevel="0" collapsed="false">
      <c r="A33" s="13" t="s">
        <v>217</v>
      </c>
      <c r="B33" s="13" t="s">
        <v>218</v>
      </c>
      <c r="C33" s="13" t="s">
        <v>235</v>
      </c>
      <c r="D33" s="13" t="s">
        <v>223</v>
      </c>
      <c r="E33" s="14" t="n">
        <v>29.7</v>
      </c>
      <c r="F33" s="14" t="n">
        <v>42</v>
      </c>
      <c r="G33" s="14" t="n">
        <v>1.2474</v>
      </c>
      <c r="H33" s="14"/>
      <c r="I33" s="14"/>
      <c r="J33" s="14" t="n">
        <v>60.87</v>
      </c>
      <c r="K33" s="14" t="n">
        <v>146.81</v>
      </c>
      <c r="L33" s="14" t="n">
        <v>2.17</v>
      </c>
      <c r="M33" s="14" t="n">
        <v>16.73</v>
      </c>
      <c r="N33" s="14" t="n">
        <v>3.9</v>
      </c>
      <c r="O33" s="14" t="n">
        <v>0.45</v>
      </c>
      <c r="P33" s="14" t="n">
        <v>1.5</v>
      </c>
      <c r="Q33" s="14"/>
      <c r="R33" s="14" t="n">
        <v>1.1</v>
      </c>
      <c r="S33" s="14" t="n">
        <v>172.66</v>
      </c>
      <c r="T33" s="14" t="n">
        <v>0.9</v>
      </c>
      <c r="U33" s="14" t="n">
        <v>10.74</v>
      </c>
      <c r="V33" s="14" t="n">
        <v>16.96</v>
      </c>
      <c r="W33" s="14" t="n">
        <v>201.26</v>
      </c>
      <c r="X33" s="14" t="n">
        <v>229.13</v>
      </c>
      <c r="Y33" s="14" t="n">
        <v>27.87</v>
      </c>
      <c r="Z33" s="14" t="n">
        <v>0.35</v>
      </c>
      <c r="AA33" s="14" t="n">
        <v>0</v>
      </c>
      <c r="AB33" s="14" t="n">
        <v>0</v>
      </c>
      <c r="AC33" s="14" t="n">
        <v>0</v>
      </c>
      <c r="AD33" s="15" t="n">
        <f aca="false">H33*E33/1000</f>
        <v>0</v>
      </c>
      <c r="AE33" s="15" t="n">
        <f aca="false">I33*E33/1000</f>
        <v>0</v>
      </c>
      <c r="AF33" s="16" t="n">
        <f aca="false">ROUND(S33+T33+U33+V33-W33,2)</f>
        <v>0</v>
      </c>
      <c r="AG33" s="16" t="n">
        <f aca="false">ROUND(X33-W33-Y33,2)</f>
        <v>0</v>
      </c>
    </row>
    <row r="34" customFormat="false" ht="15" hidden="false" customHeight="false" outlineLevel="0" collapsed="false">
      <c r="A34" s="13" t="s">
        <v>217</v>
      </c>
      <c r="B34" s="13" t="s">
        <v>218</v>
      </c>
      <c r="C34" s="13" t="s">
        <v>235</v>
      </c>
      <c r="D34" s="13" t="s">
        <v>228</v>
      </c>
      <c r="E34" s="14" t="n">
        <v>28</v>
      </c>
      <c r="F34" s="14" t="n">
        <v>3</v>
      </c>
      <c r="G34" s="14" t="n">
        <v>0.084</v>
      </c>
      <c r="H34" s="14" t="n">
        <v>2</v>
      </c>
      <c r="I34" s="14"/>
      <c r="J34" s="14" t="n">
        <v>68</v>
      </c>
      <c r="K34" s="14" t="n">
        <v>145.86</v>
      </c>
      <c r="L34" s="14" t="n">
        <v>1.94</v>
      </c>
      <c r="M34" s="14" t="n">
        <v>17.75</v>
      </c>
      <c r="N34" s="14" t="n">
        <v>3.9</v>
      </c>
      <c r="O34" s="14" t="n">
        <v>0.45</v>
      </c>
      <c r="P34" s="14" t="n">
        <v>1.5</v>
      </c>
      <c r="Q34" s="14"/>
      <c r="R34" s="14" t="n">
        <v>1.1</v>
      </c>
      <c r="S34" s="14" t="n">
        <v>172.5</v>
      </c>
      <c r="T34" s="14" t="n">
        <v>0.9</v>
      </c>
      <c r="U34" s="14" t="n">
        <v>10.74</v>
      </c>
      <c r="V34" s="14" t="n">
        <v>15.93</v>
      </c>
      <c r="W34" s="14" t="n">
        <v>200.08</v>
      </c>
      <c r="X34" s="14" t="n">
        <v>229.13</v>
      </c>
      <c r="Y34" s="14" t="n">
        <v>29.05</v>
      </c>
      <c r="Z34" s="14" t="n">
        <v>-0.02</v>
      </c>
      <c r="AA34" s="14" t="n">
        <v>0.03</v>
      </c>
      <c r="AB34" s="14" t="n">
        <v>0</v>
      </c>
      <c r="AC34" s="14" t="n">
        <v>0.02</v>
      </c>
      <c r="AD34" s="15" t="n">
        <f aca="false">H34*E34/1000</f>
        <v>0.056</v>
      </c>
      <c r="AE34" s="15" t="n">
        <f aca="false">I34*E34/1000</f>
        <v>0</v>
      </c>
      <c r="AF34" s="16" t="n">
        <f aca="false">ROUND(S34+T34+U34+V34-W34,2)</f>
        <v>-0.01</v>
      </c>
      <c r="AG34" s="16" t="n">
        <f aca="false">ROUND(X34-W34-Y34,2)</f>
        <v>0</v>
      </c>
    </row>
    <row r="35" customFormat="false" ht="15" hidden="false" customHeight="false" outlineLevel="0" collapsed="false">
      <c r="A35" s="13" t="s">
        <v>217</v>
      </c>
      <c r="B35" s="13" t="s">
        <v>218</v>
      </c>
      <c r="C35" s="13" t="s">
        <v>235</v>
      </c>
      <c r="D35" s="13" t="s">
        <v>224</v>
      </c>
      <c r="E35" s="14" t="n">
        <v>39.26</v>
      </c>
      <c r="F35" s="14" t="n">
        <v>216</v>
      </c>
      <c r="G35" s="14" t="n">
        <v>8.4802</v>
      </c>
      <c r="H35" s="14" t="n">
        <v>1</v>
      </c>
      <c r="I35" s="14"/>
      <c r="J35" s="14" t="n">
        <v>64.15</v>
      </c>
      <c r="K35" s="14" t="n">
        <v>146.35</v>
      </c>
      <c r="L35" s="14" t="n">
        <v>2.06</v>
      </c>
      <c r="M35" s="14" t="n">
        <v>14.34</v>
      </c>
      <c r="N35" s="14" t="n">
        <v>3.9</v>
      </c>
      <c r="O35" s="14" t="n">
        <v>0.54</v>
      </c>
      <c r="P35" s="14" t="n">
        <v>1.5</v>
      </c>
      <c r="Q35" s="14"/>
      <c r="R35" s="14" t="n">
        <v>1.1</v>
      </c>
      <c r="S35" s="14" t="n">
        <v>169.79</v>
      </c>
      <c r="T35" s="14" t="n">
        <v>0.9</v>
      </c>
      <c r="U35" s="14" t="n">
        <v>10.74</v>
      </c>
      <c r="V35" s="14" t="n">
        <v>16.46</v>
      </c>
      <c r="W35" s="14" t="n">
        <v>197.89</v>
      </c>
      <c r="X35" s="14" t="n">
        <v>229.13</v>
      </c>
      <c r="Y35" s="14" t="n">
        <v>31.24</v>
      </c>
      <c r="Z35" s="14" t="n">
        <v>2.62</v>
      </c>
      <c r="AA35" s="14" t="n">
        <v>0.02</v>
      </c>
      <c r="AB35" s="14" t="n">
        <v>0</v>
      </c>
      <c r="AC35" s="14" t="n">
        <v>0.01</v>
      </c>
      <c r="AD35" s="15" t="n">
        <f aca="false">H35*E35/1000</f>
        <v>0.03926</v>
      </c>
      <c r="AE35" s="15" t="n">
        <f aca="false">I35*E35/1000</f>
        <v>0</v>
      </c>
      <c r="AF35" s="16" t="n">
        <f aca="false">ROUND(S35+T35+U35+V35-W35,2)</f>
        <v>0</v>
      </c>
      <c r="AG35" s="16" t="n">
        <f aca="false">ROUND(X35-W35-Y35,2)</f>
        <v>0</v>
      </c>
    </row>
    <row r="36" customFormat="false" ht="15" hidden="false" customHeight="false" outlineLevel="0" collapsed="false">
      <c r="A36" s="13" t="s">
        <v>217</v>
      </c>
      <c r="B36" s="13" t="s">
        <v>218</v>
      </c>
      <c r="C36" s="13" t="s">
        <v>235</v>
      </c>
      <c r="D36" s="13" t="s">
        <v>225</v>
      </c>
      <c r="E36" s="14" t="n">
        <v>28.92</v>
      </c>
      <c r="F36" s="14" t="n">
        <v>32</v>
      </c>
      <c r="G36" s="14" t="n">
        <v>0.9254</v>
      </c>
      <c r="H36" s="14"/>
      <c r="I36" s="14"/>
      <c r="J36" s="14" t="n">
        <v>63.01</v>
      </c>
      <c r="K36" s="14" t="n">
        <v>146.51</v>
      </c>
      <c r="L36" s="14" t="n">
        <v>2.09</v>
      </c>
      <c r="M36" s="14" t="n">
        <v>17.36</v>
      </c>
      <c r="N36" s="14" t="n">
        <v>3.9</v>
      </c>
      <c r="O36" s="14" t="n">
        <v>0.45</v>
      </c>
      <c r="P36" s="14" t="n">
        <v>1.5</v>
      </c>
      <c r="Q36" s="14"/>
      <c r="R36" s="14" t="n">
        <v>1.1</v>
      </c>
      <c r="S36" s="14" t="n">
        <v>172.91</v>
      </c>
      <c r="T36" s="14" t="n">
        <v>0.9</v>
      </c>
      <c r="U36" s="14" t="n">
        <v>10.74</v>
      </c>
      <c r="V36" s="14" t="n">
        <v>16.63</v>
      </c>
      <c r="W36" s="14" t="n">
        <v>201.18</v>
      </c>
      <c r="X36" s="14" t="n">
        <v>229.13</v>
      </c>
      <c r="Y36" s="14" t="n">
        <v>27.95</v>
      </c>
      <c r="Z36" s="14" t="n">
        <v>0.26</v>
      </c>
      <c r="AA36" s="14" t="n">
        <v>0</v>
      </c>
      <c r="AB36" s="14" t="n">
        <v>0</v>
      </c>
      <c r="AC36" s="14" t="n">
        <v>0</v>
      </c>
      <c r="AD36" s="15" t="n">
        <f aca="false">H36*E36/1000</f>
        <v>0</v>
      </c>
      <c r="AE36" s="15" t="n">
        <f aca="false">I36*E36/1000</f>
        <v>0</v>
      </c>
      <c r="AF36" s="16" t="n">
        <f aca="false">ROUND(S36+T36+U36+V36-W36,2)</f>
        <v>0</v>
      </c>
      <c r="AG36" s="16" t="n">
        <f aca="false">ROUND(X36-W36-Y36,2)</f>
        <v>0</v>
      </c>
    </row>
    <row r="37" customFormat="false" ht="15" hidden="false" customHeight="false" outlineLevel="0" collapsed="false">
      <c r="A37" s="13" t="s">
        <v>217</v>
      </c>
      <c r="B37" s="13" t="s">
        <v>218</v>
      </c>
      <c r="C37" s="13" t="s">
        <v>240</v>
      </c>
      <c r="D37" s="13" t="s">
        <v>236</v>
      </c>
      <c r="E37" s="14" t="n">
        <v>31.66</v>
      </c>
      <c r="F37" s="14" t="n">
        <v>104</v>
      </c>
      <c r="G37" s="14" t="n">
        <v>3.2926</v>
      </c>
      <c r="H37" s="14" t="n">
        <v>10</v>
      </c>
      <c r="I37" s="14"/>
      <c r="J37" s="14" t="n">
        <v>61.09</v>
      </c>
      <c r="K37" s="14" t="n">
        <v>148.44</v>
      </c>
      <c r="L37" s="14" t="n">
        <v>2.16</v>
      </c>
      <c r="M37" s="14" t="n">
        <v>15.57</v>
      </c>
      <c r="N37" s="14" t="n">
        <v>3.9</v>
      </c>
      <c r="O37" s="14" t="n">
        <v>0.45</v>
      </c>
      <c r="P37" s="14" t="n">
        <v>1.5</v>
      </c>
      <c r="Q37" s="14"/>
      <c r="R37" s="14" t="n">
        <v>1.1</v>
      </c>
      <c r="S37" s="14" t="n">
        <v>173.12</v>
      </c>
      <c r="T37" s="14" t="n">
        <v>0.9</v>
      </c>
      <c r="U37" s="14" t="n">
        <v>10.74</v>
      </c>
      <c r="V37" s="14" t="n">
        <v>16.93</v>
      </c>
      <c r="W37" s="14" t="n">
        <v>201.69</v>
      </c>
      <c r="X37" s="14" t="n">
        <v>244</v>
      </c>
      <c r="Y37" s="14" t="n">
        <v>42.31</v>
      </c>
      <c r="Z37" s="14" t="n">
        <v>1.1</v>
      </c>
      <c r="AA37" s="14" t="n">
        <v>0.16</v>
      </c>
      <c r="AB37" s="14" t="n">
        <v>0</v>
      </c>
      <c r="AC37" s="14" t="n">
        <v>0.13</v>
      </c>
      <c r="AD37" s="15" t="n">
        <f aca="false">H37*E37/1000</f>
        <v>0.3166</v>
      </c>
      <c r="AE37" s="15" t="n">
        <f aca="false">I37*E37/1000</f>
        <v>0</v>
      </c>
      <c r="AF37" s="16" t="n">
        <f aca="false">ROUND(S37+T37+U37+V37-W37,2)</f>
        <v>0</v>
      </c>
      <c r="AG37" s="16" t="n">
        <f aca="false">ROUND(X37-W37-Y37,2)</f>
        <v>0</v>
      </c>
    </row>
    <row r="38" customFormat="false" ht="15" hidden="false" customHeight="false" outlineLevel="0" collapsed="false">
      <c r="A38" s="13" t="s">
        <v>217</v>
      </c>
      <c r="B38" s="13" t="s">
        <v>218</v>
      </c>
      <c r="C38" s="13" t="s">
        <v>240</v>
      </c>
      <c r="D38" s="13" t="s">
        <v>237</v>
      </c>
      <c r="E38" s="14" t="n">
        <v>25</v>
      </c>
      <c r="F38" s="14" t="n">
        <v>276</v>
      </c>
      <c r="G38" s="14" t="n">
        <v>6.9</v>
      </c>
      <c r="H38" s="14" t="n">
        <v>37</v>
      </c>
      <c r="I38" s="14"/>
      <c r="J38" s="14" t="n">
        <v>58.82</v>
      </c>
      <c r="K38" s="14" t="n">
        <v>148.79</v>
      </c>
      <c r="L38" s="14" t="n">
        <v>2.24</v>
      </c>
      <c r="M38" s="14" t="n">
        <v>15.28</v>
      </c>
      <c r="N38" s="14" t="n">
        <v>3.9</v>
      </c>
      <c r="O38" s="14" t="n">
        <v>0.45</v>
      </c>
      <c r="P38" s="14" t="n">
        <v>1.5</v>
      </c>
      <c r="Q38" s="14"/>
      <c r="R38" s="14" t="n">
        <v>1.1</v>
      </c>
      <c r="S38" s="14" t="n">
        <v>173.26</v>
      </c>
      <c r="T38" s="14" t="n">
        <v>0.9</v>
      </c>
      <c r="U38" s="14" t="n">
        <v>10.74</v>
      </c>
      <c r="V38" s="14" t="n">
        <v>17.3</v>
      </c>
      <c r="W38" s="14" t="n">
        <v>202.21</v>
      </c>
      <c r="X38" s="14" t="n">
        <v>244</v>
      </c>
      <c r="Y38" s="14" t="n">
        <v>41.79</v>
      </c>
      <c r="Z38" s="14" t="n">
        <v>2.04</v>
      </c>
      <c r="AA38" s="14" t="n">
        <v>0.46</v>
      </c>
      <c r="AB38" s="14" t="n">
        <v>0</v>
      </c>
      <c r="AC38" s="14" t="n">
        <v>0.39</v>
      </c>
      <c r="AD38" s="15" t="n">
        <f aca="false">H38*E38/1000</f>
        <v>0.925</v>
      </c>
      <c r="AE38" s="15" t="n">
        <f aca="false">I38*E38/1000</f>
        <v>0</v>
      </c>
      <c r="AF38" s="16" t="n">
        <f aca="false">ROUND(S38+T38+U38+V38-W38,2)</f>
        <v>-0.01</v>
      </c>
      <c r="AG38" s="16" t="n">
        <f aca="false">ROUND(X38-W38-Y38,2)</f>
        <v>0</v>
      </c>
    </row>
    <row r="39" customFormat="false" ht="15" hidden="false" customHeight="false" outlineLevel="0" collapsed="false">
      <c r="A39" s="13" t="s">
        <v>217</v>
      </c>
      <c r="B39" s="13" t="s">
        <v>218</v>
      </c>
      <c r="C39" s="13" t="s">
        <v>240</v>
      </c>
      <c r="D39" s="13" t="s">
        <v>238</v>
      </c>
      <c r="E39" s="14" t="n">
        <v>34</v>
      </c>
      <c r="F39" s="14" t="n">
        <v>52</v>
      </c>
      <c r="G39" s="14" t="n">
        <v>1.768</v>
      </c>
      <c r="H39" s="14" t="n">
        <v>3</v>
      </c>
      <c r="I39" s="14"/>
      <c r="J39" s="14" t="n">
        <v>66.4</v>
      </c>
      <c r="K39" s="14" t="n">
        <v>147.71</v>
      </c>
      <c r="L39" s="14" t="n">
        <v>1.99</v>
      </c>
      <c r="M39" s="14" t="n">
        <v>14.64</v>
      </c>
      <c r="N39" s="14" t="n">
        <v>3.9</v>
      </c>
      <c r="O39" s="14" t="n">
        <v>0.45</v>
      </c>
      <c r="P39" s="14" t="n">
        <v>1.5</v>
      </c>
      <c r="Q39" s="14"/>
      <c r="R39" s="14" t="n">
        <v>1.1</v>
      </c>
      <c r="S39" s="14" t="n">
        <v>171.29</v>
      </c>
      <c r="T39" s="14" t="n">
        <v>0.9</v>
      </c>
      <c r="U39" s="14" t="n">
        <v>10.74</v>
      </c>
      <c r="V39" s="14" t="n">
        <v>16.14</v>
      </c>
      <c r="W39" s="14" t="n">
        <v>199.07</v>
      </c>
      <c r="X39" s="14" t="n">
        <v>244</v>
      </c>
      <c r="Y39" s="14" t="n">
        <v>44.93</v>
      </c>
      <c r="Z39" s="14" t="n">
        <v>0.7</v>
      </c>
      <c r="AA39" s="14" t="n">
        <v>0.05</v>
      </c>
      <c r="AB39" s="14" t="n">
        <v>0</v>
      </c>
      <c r="AC39" s="14" t="n">
        <v>0.05</v>
      </c>
      <c r="AD39" s="15" t="n">
        <f aca="false">H39*E39/1000</f>
        <v>0.102</v>
      </c>
      <c r="AE39" s="15" t="n">
        <f aca="false">I39*E39/1000</f>
        <v>0</v>
      </c>
      <c r="AF39" s="16" t="n">
        <f aca="false">ROUND(S39+T39+U39+V39-W39,2)</f>
        <v>0</v>
      </c>
      <c r="AG39" s="16" t="n">
        <f aca="false">ROUND(X39-W39-Y39,2)</f>
        <v>0</v>
      </c>
    </row>
    <row r="40" customFormat="false" ht="15" hidden="false" customHeight="false" outlineLevel="0" collapsed="false">
      <c r="A40" s="13" t="s">
        <v>217</v>
      </c>
      <c r="B40" s="13" t="s">
        <v>218</v>
      </c>
      <c r="C40" s="13" t="s">
        <v>240</v>
      </c>
      <c r="D40" s="13" t="s">
        <v>239</v>
      </c>
      <c r="E40" s="14" t="n">
        <v>23</v>
      </c>
      <c r="F40" s="14" t="n">
        <v>52</v>
      </c>
      <c r="G40" s="14" t="n">
        <v>1.196</v>
      </c>
      <c r="H40" s="14" t="n">
        <v>5</v>
      </c>
      <c r="I40" s="14"/>
      <c r="J40" s="14" t="n">
        <v>61.5</v>
      </c>
      <c r="K40" s="14" t="n">
        <v>148.38</v>
      </c>
      <c r="L40" s="14" t="n">
        <v>2.15</v>
      </c>
      <c r="M40" s="14" t="n">
        <v>15.9</v>
      </c>
      <c r="N40" s="14" t="n">
        <v>3.9</v>
      </c>
      <c r="O40" s="14" t="n">
        <v>0.45</v>
      </c>
      <c r="P40" s="14" t="n">
        <v>1.5</v>
      </c>
      <c r="Q40" s="14"/>
      <c r="R40" s="14" t="n">
        <v>1.1</v>
      </c>
      <c r="S40" s="14" t="n">
        <v>173.37</v>
      </c>
      <c r="T40" s="14" t="n">
        <v>0.9</v>
      </c>
      <c r="U40" s="14" t="n">
        <v>10.74</v>
      </c>
      <c r="V40" s="14" t="n">
        <v>16.86</v>
      </c>
      <c r="W40" s="14" t="n">
        <v>201.87</v>
      </c>
      <c r="X40" s="14" t="n">
        <v>244</v>
      </c>
      <c r="Y40" s="14" t="n">
        <v>42.13</v>
      </c>
      <c r="Z40" s="14" t="n">
        <v>0.4</v>
      </c>
      <c r="AA40" s="14" t="n">
        <v>0.06</v>
      </c>
      <c r="AB40" s="14" t="n">
        <v>0</v>
      </c>
      <c r="AC40" s="14" t="n">
        <v>0.05</v>
      </c>
      <c r="AD40" s="15" t="n">
        <f aca="false">H40*E40/1000</f>
        <v>0.115</v>
      </c>
      <c r="AE40" s="15" t="n">
        <f aca="false">I40*E40/1000</f>
        <v>0</v>
      </c>
      <c r="AF40" s="16" t="n">
        <f aca="false">ROUND(S40+T40+U40+V40-W40,2)</f>
        <v>0</v>
      </c>
      <c r="AG40" s="16" t="n">
        <f aca="false">ROUND(X40-W40-Y40,2)</f>
        <v>0</v>
      </c>
    </row>
    <row r="41" customFormat="false" ht="15" hidden="false" customHeight="false" outlineLevel="0" collapsed="false">
      <c r="A41" s="13" t="s">
        <v>217</v>
      </c>
      <c r="B41" s="13" t="s">
        <v>218</v>
      </c>
      <c r="C41" s="13" t="s">
        <v>241</v>
      </c>
      <c r="D41" s="13" t="s">
        <v>242</v>
      </c>
      <c r="E41" s="14" t="n">
        <v>28.96</v>
      </c>
      <c r="F41" s="14" t="n">
        <v>8</v>
      </c>
      <c r="G41" s="14" t="n">
        <v>0.2317</v>
      </c>
      <c r="H41" s="14"/>
      <c r="I41" s="14"/>
      <c r="J41" s="14" t="n">
        <v>60.78</v>
      </c>
      <c r="K41" s="14" t="n">
        <v>156</v>
      </c>
      <c r="L41" s="14" t="n">
        <v>2.17</v>
      </c>
      <c r="M41" s="14" t="n">
        <v>13.04</v>
      </c>
      <c r="N41" s="14" t="n">
        <v>3.9</v>
      </c>
      <c r="O41" s="14" t="n">
        <v>0.54</v>
      </c>
      <c r="P41" s="14" t="n">
        <v>1.5</v>
      </c>
      <c r="Q41" s="14"/>
      <c r="R41" s="14" t="n">
        <v>1.1</v>
      </c>
      <c r="S41" s="14" t="n">
        <v>178.25</v>
      </c>
      <c r="T41" s="14" t="n">
        <v>0.9</v>
      </c>
      <c r="U41" s="14" t="n">
        <v>10.74</v>
      </c>
      <c r="V41" s="14" t="n">
        <v>16.45</v>
      </c>
      <c r="W41" s="14" t="n">
        <v>206.34</v>
      </c>
      <c r="X41" s="14" t="n">
        <v>283.11</v>
      </c>
      <c r="Y41" s="14" t="n">
        <v>76.77</v>
      </c>
      <c r="Z41" s="14" t="n">
        <v>0.18</v>
      </c>
      <c r="AA41" s="14" t="n">
        <v>0</v>
      </c>
      <c r="AB41" s="14" t="n">
        <v>0</v>
      </c>
      <c r="AC41" s="14" t="n">
        <v>0</v>
      </c>
      <c r="AD41" s="15" t="n">
        <f aca="false">H41*E41/1000</f>
        <v>0</v>
      </c>
      <c r="AE41" s="15" t="n">
        <f aca="false">I41*E41/1000</f>
        <v>0</v>
      </c>
      <c r="AF41" s="16" t="n">
        <f aca="false">ROUND(S41+T41+U41+V41-W41,2)</f>
        <v>0</v>
      </c>
      <c r="AG41" s="16" t="n">
        <f aca="false">ROUND(X41-W41-Y41,2)</f>
        <v>0</v>
      </c>
    </row>
    <row r="42" customFormat="false" ht="15" hidden="false" customHeight="false" outlineLevel="0" collapsed="false">
      <c r="A42" s="13" t="s">
        <v>217</v>
      </c>
      <c r="B42" s="13" t="s">
        <v>218</v>
      </c>
      <c r="C42" s="13" t="s">
        <v>241</v>
      </c>
      <c r="D42" s="13" t="s">
        <v>243</v>
      </c>
      <c r="E42" s="14" t="n">
        <v>38.05</v>
      </c>
      <c r="F42" s="14" t="n">
        <v>12</v>
      </c>
      <c r="G42" s="14" t="n">
        <v>0.4566</v>
      </c>
      <c r="H42" s="14"/>
      <c r="I42" s="14"/>
      <c r="J42" s="14" t="n">
        <v>64.1</v>
      </c>
      <c r="K42" s="14" t="n">
        <v>155.51</v>
      </c>
      <c r="L42" s="14" t="n">
        <v>2.06</v>
      </c>
      <c r="M42" s="14" t="n">
        <v>16.58</v>
      </c>
      <c r="N42" s="14" t="n">
        <v>3.9</v>
      </c>
      <c r="O42" s="14" t="n">
        <v>0.54</v>
      </c>
      <c r="P42" s="14" t="n">
        <v>1.5</v>
      </c>
      <c r="Q42" s="14"/>
      <c r="R42" s="14" t="n">
        <v>1.1</v>
      </c>
      <c r="S42" s="14" t="n">
        <v>181.19</v>
      </c>
      <c r="T42" s="14" t="n">
        <v>0.9</v>
      </c>
      <c r="U42" s="14" t="n">
        <v>10.74</v>
      </c>
      <c r="V42" s="14" t="n">
        <v>15.96</v>
      </c>
      <c r="W42" s="14" t="n">
        <v>208.79</v>
      </c>
      <c r="X42" s="14" t="n">
        <v>283.11</v>
      </c>
      <c r="Y42" s="14" t="n">
        <v>74.32</v>
      </c>
      <c r="Z42" s="14" t="n">
        <v>0.34</v>
      </c>
      <c r="AA42" s="14" t="n">
        <v>0</v>
      </c>
      <c r="AB42" s="14" t="n">
        <v>0</v>
      </c>
      <c r="AC42" s="14" t="n">
        <v>0</v>
      </c>
      <c r="AD42" s="15" t="n">
        <f aca="false">H42*E42/1000</f>
        <v>0</v>
      </c>
      <c r="AE42" s="15" t="n">
        <f aca="false">I42*E42/1000</f>
        <v>0</v>
      </c>
      <c r="AF42" s="16" t="n">
        <f aca="false">ROUND(S42+T42+U42+V42-W42,2)</f>
        <v>0</v>
      </c>
      <c r="AG42" s="16" t="n">
        <f aca="false">ROUND(X42-W42-Y42,2)</f>
        <v>0</v>
      </c>
    </row>
    <row r="43" customFormat="false" ht="15" hidden="false" customHeight="false" outlineLevel="0" collapsed="false">
      <c r="A43" s="13" t="s">
        <v>217</v>
      </c>
      <c r="B43" s="13" t="s">
        <v>218</v>
      </c>
      <c r="C43" s="13" t="s">
        <v>241</v>
      </c>
      <c r="D43" s="13" t="s">
        <v>232</v>
      </c>
      <c r="E43" s="14" t="n">
        <v>50.5</v>
      </c>
      <c r="F43" s="14" t="n">
        <v>12</v>
      </c>
      <c r="G43" s="14" t="n">
        <v>1</v>
      </c>
      <c r="H43" s="14"/>
      <c r="I43" s="14"/>
      <c r="J43" s="14" t="n">
        <v>70.44</v>
      </c>
      <c r="K43" s="14" t="n">
        <v>154.68</v>
      </c>
      <c r="L43" s="14" t="n">
        <v>1.87</v>
      </c>
      <c r="M43" s="14" t="n">
        <v>14.01</v>
      </c>
      <c r="N43" s="14" t="n">
        <v>3.9</v>
      </c>
      <c r="O43" s="14" t="n">
        <v>0.45</v>
      </c>
      <c r="P43" s="14" t="n">
        <v>1.5</v>
      </c>
      <c r="Q43" s="14"/>
      <c r="R43" s="14" t="n">
        <v>1.1</v>
      </c>
      <c r="S43" s="14" t="n">
        <v>177.52</v>
      </c>
      <c r="T43" s="14" t="n">
        <v>0.9</v>
      </c>
      <c r="U43" s="14" t="n">
        <v>10.74</v>
      </c>
      <c r="V43" s="14" t="n">
        <v>15.15</v>
      </c>
      <c r="W43" s="14" t="n">
        <v>204.31</v>
      </c>
      <c r="X43" s="14" t="n">
        <v>283.11</v>
      </c>
      <c r="Y43" s="14" t="n">
        <v>78.8</v>
      </c>
      <c r="Z43" s="14" t="n">
        <v>0.48</v>
      </c>
      <c r="AA43" s="14" t="n">
        <v>0</v>
      </c>
      <c r="AB43" s="14" t="n">
        <v>0</v>
      </c>
      <c r="AC43" s="14" t="n">
        <v>0</v>
      </c>
      <c r="AD43" s="15" t="n">
        <f aca="false">H43*E43/1000</f>
        <v>0</v>
      </c>
      <c r="AE43" s="15" t="n">
        <f aca="false">I43*E43/1000</f>
        <v>0</v>
      </c>
      <c r="AF43" s="16" t="n">
        <f aca="false">ROUND(S43+T43+U43+V43-W43,2)</f>
        <v>0</v>
      </c>
      <c r="AG43" s="16" t="n">
        <f aca="false">ROUND(X43-W43-Y43,2)</f>
        <v>0</v>
      </c>
    </row>
    <row r="44" customFormat="false" ht="15" hidden="false" customHeight="false" outlineLevel="0" collapsed="false">
      <c r="A44" s="13" t="s">
        <v>217</v>
      </c>
      <c r="B44" s="13" t="s">
        <v>218</v>
      </c>
      <c r="C44" s="13" t="s">
        <v>241</v>
      </c>
      <c r="D44" s="13" t="s">
        <v>244</v>
      </c>
      <c r="E44" s="14" t="n">
        <v>37.5</v>
      </c>
      <c r="F44" s="14" t="n">
        <v>8</v>
      </c>
      <c r="G44" s="14" t="n">
        <v>0.3</v>
      </c>
      <c r="H44" s="14"/>
      <c r="I44" s="14"/>
      <c r="J44" s="14" t="n">
        <v>63.73</v>
      </c>
      <c r="K44" s="14" t="n">
        <v>155.56</v>
      </c>
      <c r="L44" s="14" t="n">
        <v>2.07</v>
      </c>
      <c r="M44" s="14" t="n">
        <v>12.44</v>
      </c>
      <c r="N44" s="14" t="n">
        <v>3.9</v>
      </c>
      <c r="O44" s="14" t="n">
        <v>0.45</v>
      </c>
      <c r="P44" s="14" t="n">
        <v>1.5</v>
      </c>
      <c r="Q44" s="14"/>
      <c r="R44" s="14" t="n">
        <v>1.1</v>
      </c>
      <c r="S44" s="14" t="n">
        <v>177.02</v>
      </c>
      <c r="T44" s="14" t="n">
        <v>0.9</v>
      </c>
      <c r="U44" s="14" t="n">
        <v>10.74</v>
      </c>
      <c r="V44" s="14" t="n">
        <v>16.01</v>
      </c>
      <c r="W44" s="14" t="n">
        <v>204.67</v>
      </c>
      <c r="X44" s="14" t="n">
        <v>283.11</v>
      </c>
      <c r="Y44" s="14" t="n">
        <v>78.44</v>
      </c>
      <c r="Z44" s="14" t="n">
        <v>0.24</v>
      </c>
      <c r="AA44" s="14" t="n">
        <v>0</v>
      </c>
      <c r="AB44" s="14" t="n">
        <v>0</v>
      </c>
      <c r="AC44" s="14" t="n">
        <v>0</v>
      </c>
      <c r="AD44" s="15" t="n">
        <f aca="false">H44*E44/1000</f>
        <v>0</v>
      </c>
      <c r="AE44" s="15" t="n">
        <f aca="false">I44*E44/1000</f>
        <v>0</v>
      </c>
      <c r="AF44" s="16" t="n">
        <f aca="false">ROUND(S44+T44+U44+V44-W44,2)</f>
        <v>0</v>
      </c>
      <c r="AG44" s="16" t="n">
        <f aca="false">ROUND(X44-W44-Y44,2)</f>
        <v>0</v>
      </c>
    </row>
    <row r="45" customFormat="false" ht="15" hidden="false" customHeight="false" outlineLevel="0" collapsed="false">
      <c r="A45" s="13" t="s">
        <v>217</v>
      </c>
      <c r="B45" s="13" t="s">
        <v>218</v>
      </c>
      <c r="C45" s="13" t="s">
        <v>241</v>
      </c>
      <c r="D45" s="13" t="s">
        <v>245</v>
      </c>
      <c r="E45" s="14" t="n">
        <v>35.75</v>
      </c>
      <c r="F45" s="14" t="n">
        <v>8</v>
      </c>
      <c r="G45" s="14" t="n">
        <v>0.286</v>
      </c>
      <c r="H45" s="14"/>
      <c r="I45" s="14"/>
      <c r="J45" s="14" t="n">
        <v>70.98</v>
      </c>
      <c r="K45" s="14" t="n">
        <v>154.62</v>
      </c>
      <c r="L45" s="14" t="n">
        <v>1.86</v>
      </c>
      <c r="M45" s="14" t="n">
        <v>12.26</v>
      </c>
      <c r="N45" s="14" t="n">
        <v>3.9</v>
      </c>
      <c r="O45" s="14" t="n">
        <v>0.45</v>
      </c>
      <c r="P45" s="14" t="n">
        <v>1.5</v>
      </c>
      <c r="Q45" s="14"/>
      <c r="R45" s="14" t="n">
        <v>1.1</v>
      </c>
      <c r="S45" s="14" t="n">
        <v>175.69</v>
      </c>
      <c r="T45" s="14" t="n">
        <v>0.9</v>
      </c>
      <c r="U45" s="14" t="n">
        <v>10.74</v>
      </c>
      <c r="V45" s="14" t="n">
        <v>15.09</v>
      </c>
      <c r="W45" s="14" t="n">
        <v>202.42</v>
      </c>
      <c r="X45" s="14" t="n">
        <v>283.11</v>
      </c>
      <c r="Y45" s="14" t="n">
        <v>80.69</v>
      </c>
      <c r="Z45" s="14" t="n">
        <v>0.23</v>
      </c>
      <c r="AA45" s="14" t="n">
        <v>0</v>
      </c>
      <c r="AB45" s="14" t="n">
        <v>0</v>
      </c>
      <c r="AC45" s="14" t="n">
        <v>0</v>
      </c>
      <c r="AD45" s="15" t="n">
        <f aca="false">H45*E45/1000</f>
        <v>0</v>
      </c>
      <c r="AE45" s="15" t="n">
        <f aca="false">I45*E45/1000</f>
        <v>0</v>
      </c>
      <c r="AF45" s="16" t="n">
        <f aca="false">ROUND(S45+T45+U45+V45-W45,2)</f>
        <v>0</v>
      </c>
      <c r="AG45" s="16" t="n">
        <f aca="false">ROUND(X45-W45-Y45,2)</f>
        <v>0</v>
      </c>
    </row>
    <row r="46" customFormat="false" ht="15" hidden="false" customHeight="false" outlineLevel="0" collapsed="false">
      <c r="A46" s="13" t="s">
        <v>217</v>
      </c>
      <c r="B46" s="13" t="s">
        <v>218</v>
      </c>
      <c r="C46" s="13" t="s">
        <v>246</v>
      </c>
      <c r="D46" s="13" t="s">
        <v>242</v>
      </c>
      <c r="E46" s="14" t="n">
        <v>28.96</v>
      </c>
      <c r="F46" s="14" t="n">
        <v>1079</v>
      </c>
      <c r="G46" s="14" t="n">
        <v>31.248</v>
      </c>
      <c r="H46" s="14" t="n">
        <v>43</v>
      </c>
      <c r="I46" s="14"/>
      <c r="J46" s="14" t="n">
        <v>60.78</v>
      </c>
      <c r="K46" s="14" t="n">
        <v>163.33</v>
      </c>
      <c r="L46" s="14" t="n">
        <v>2.17</v>
      </c>
      <c r="M46" s="14" t="n">
        <v>13.04</v>
      </c>
      <c r="N46" s="14" t="n">
        <v>3.9</v>
      </c>
      <c r="O46" s="14" t="n">
        <v>0.54</v>
      </c>
      <c r="P46" s="14" t="n">
        <v>1.5</v>
      </c>
      <c r="Q46" s="14"/>
      <c r="R46" s="14" t="n">
        <v>1.1</v>
      </c>
      <c r="S46" s="14" t="n">
        <v>185.57</v>
      </c>
      <c r="T46" s="14" t="n">
        <v>0.9</v>
      </c>
      <c r="U46" s="14" t="n">
        <v>7.74</v>
      </c>
      <c r="V46" s="14" t="n">
        <v>16.45</v>
      </c>
      <c r="W46" s="14" t="n">
        <v>210.67</v>
      </c>
      <c r="X46" s="14" t="n">
        <v>283.11</v>
      </c>
      <c r="Y46" s="14" t="n">
        <v>72.44</v>
      </c>
      <c r="Z46" s="14" t="n">
        <v>21.18</v>
      </c>
      <c r="AA46" s="14" t="n">
        <v>0.56</v>
      </c>
      <c r="AB46" s="14" t="n">
        <v>0</v>
      </c>
      <c r="AC46" s="14" t="n">
        <v>0.9</v>
      </c>
      <c r="AD46" s="15" t="n">
        <f aca="false">H46*E46/1000</f>
        <v>1.24528</v>
      </c>
      <c r="AE46" s="15" t="n">
        <f aca="false">I46*E46/1000</f>
        <v>0</v>
      </c>
      <c r="AF46" s="16" t="n">
        <f aca="false">ROUND(S46+T46+U46+V46-W46,2)</f>
        <v>-0.01</v>
      </c>
      <c r="AG46" s="16" t="n">
        <f aca="false">ROUND(X46-W46-Y46,2)</f>
        <v>0</v>
      </c>
    </row>
    <row r="47" customFormat="false" ht="15" hidden="false" customHeight="false" outlineLevel="0" collapsed="false">
      <c r="A47" s="13" t="s">
        <v>217</v>
      </c>
      <c r="B47" s="13" t="s">
        <v>218</v>
      </c>
      <c r="C47" s="13" t="s">
        <v>246</v>
      </c>
      <c r="D47" s="13" t="s">
        <v>247</v>
      </c>
      <c r="E47" s="14" t="n">
        <v>28</v>
      </c>
      <c r="F47" s="14" t="n">
        <v>552</v>
      </c>
      <c r="G47" s="14" t="n">
        <v>15.456</v>
      </c>
      <c r="H47" s="14" t="n">
        <v>12</v>
      </c>
      <c r="I47" s="14"/>
      <c r="J47" s="14" t="n">
        <v>61</v>
      </c>
      <c r="K47" s="14" t="n">
        <v>163.29</v>
      </c>
      <c r="L47" s="14" t="n">
        <v>2.16</v>
      </c>
      <c r="M47" s="14" t="n">
        <v>13.6</v>
      </c>
      <c r="N47" s="14" t="n">
        <v>3.9</v>
      </c>
      <c r="O47" s="14" t="n">
        <v>0.45</v>
      </c>
      <c r="P47" s="14" t="n">
        <v>1.5</v>
      </c>
      <c r="Q47" s="14"/>
      <c r="R47" s="14" t="n">
        <v>1.1</v>
      </c>
      <c r="S47" s="14" t="n">
        <v>186</v>
      </c>
      <c r="T47" s="14" t="n">
        <v>0.9</v>
      </c>
      <c r="U47" s="14" t="n">
        <v>7.74</v>
      </c>
      <c r="V47" s="14" t="n">
        <v>16.42</v>
      </c>
      <c r="W47" s="14" t="n">
        <v>211.06</v>
      </c>
      <c r="X47" s="14" t="n">
        <v>283.11</v>
      </c>
      <c r="Y47" s="14" t="n">
        <v>72.05</v>
      </c>
      <c r="Z47" s="14" t="n">
        <v>10.74</v>
      </c>
      <c r="AA47" s="14" t="n">
        <v>0.15</v>
      </c>
      <c r="AB47" s="14" t="n">
        <v>0</v>
      </c>
      <c r="AC47" s="14" t="n">
        <v>0.24</v>
      </c>
      <c r="AD47" s="15" t="n">
        <f aca="false">H47*E47/1000</f>
        <v>0.336</v>
      </c>
      <c r="AE47" s="15" t="n">
        <f aca="false">I47*E47/1000</f>
        <v>0</v>
      </c>
      <c r="AF47" s="16" t="n">
        <f aca="false">ROUND(S47+T47+U47+V47-W47,2)</f>
        <v>0</v>
      </c>
      <c r="AG47" s="16" t="n">
        <f aca="false">ROUND(X47-W47-Y47,2)</f>
        <v>0</v>
      </c>
    </row>
    <row r="48" customFormat="false" ht="15" hidden="false" customHeight="false" outlineLevel="0" collapsed="false">
      <c r="A48" s="13" t="s">
        <v>217</v>
      </c>
      <c r="B48" s="13" t="s">
        <v>218</v>
      </c>
      <c r="C48" s="13" t="s">
        <v>246</v>
      </c>
      <c r="D48" s="13" t="s">
        <v>243</v>
      </c>
      <c r="E48" s="14" t="n">
        <v>37.78</v>
      </c>
      <c r="F48" s="14" t="n">
        <v>132</v>
      </c>
      <c r="G48" s="14" t="n">
        <v>4.987</v>
      </c>
      <c r="H48" s="14"/>
      <c r="I48" s="14"/>
      <c r="J48" s="14" t="n">
        <v>64.1</v>
      </c>
      <c r="K48" s="14" t="n">
        <v>162.81</v>
      </c>
      <c r="L48" s="14" t="n">
        <v>2.06</v>
      </c>
      <c r="M48" s="14" t="n">
        <v>16.68</v>
      </c>
      <c r="N48" s="14" t="n">
        <v>3.9</v>
      </c>
      <c r="O48" s="14" t="n">
        <v>0.54</v>
      </c>
      <c r="P48" s="14" t="n">
        <v>1.5</v>
      </c>
      <c r="Q48" s="14"/>
      <c r="R48" s="14" t="n">
        <v>1.1</v>
      </c>
      <c r="S48" s="14" t="n">
        <v>188.59</v>
      </c>
      <c r="T48" s="14" t="n">
        <v>0.9</v>
      </c>
      <c r="U48" s="14" t="n">
        <v>7.74</v>
      </c>
      <c r="V48" s="14" t="n">
        <v>15.96</v>
      </c>
      <c r="W48" s="14" t="n">
        <v>213.19</v>
      </c>
      <c r="X48" s="14" t="n">
        <v>283.11</v>
      </c>
      <c r="Y48" s="14" t="n">
        <v>69.92</v>
      </c>
      <c r="Z48" s="14" t="n">
        <v>3.49</v>
      </c>
      <c r="AA48" s="14" t="n">
        <v>0</v>
      </c>
      <c r="AB48" s="14" t="n">
        <v>0</v>
      </c>
      <c r="AC48" s="14" t="n">
        <v>0</v>
      </c>
      <c r="AD48" s="15" t="n">
        <f aca="false">H48*E48/1000</f>
        <v>0</v>
      </c>
      <c r="AE48" s="15" t="n">
        <f aca="false">I48*E48/1000</f>
        <v>0</v>
      </c>
      <c r="AF48" s="16" t="n">
        <f aca="false">ROUND(S48+T48+U48+V48-W48,2)</f>
        <v>0</v>
      </c>
      <c r="AG48" s="16" t="n">
        <f aca="false">ROUND(X48-W48-Y48,2)</f>
        <v>0</v>
      </c>
    </row>
    <row r="49" customFormat="false" ht="15" hidden="false" customHeight="false" outlineLevel="0" collapsed="false">
      <c r="A49" s="13" t="s">
        <v>217</v>
      </c>
      <c r="B49" s="13" t="s">
        <v>218</v>
      </c>
      <c r="C49" s="13" t="s">
        <v>246</v>
      </c>
      <c r="D49" s="13" t="s">
        <v>232</v>
      </c>
      <c r="E49" s="14" t="n">
        <v>50.15</v>
      </c>
      <c r="F49" s="14" t="n">
        <v>252</v>
      </c>
      <c r="G49" s="14" t="n">
        <v>13</v>
      </c>
      <c r="H49" s="14" t="n">
        <v>2</v>
      </c>
      <c r="I49" s="14"/>
      <c r="J49" s="14" t="n">
        <v>70.44</v>
      </c>
      <c r="K49" s="14" t="n">
        <v>161.94</v>
      </c>
      <c r="L49" s="14" t="n">
        <v>1.87</v>
      </c>
      <c r="M49" s="14" t="n">
        <v>14.1</v>
      </c>
      <c r="N49" s="14" t="n">
        <v>3.9</v>
      </c>
      <c r="O49" s="14" t="n">
        <v>0.45</v>
      </c>
      <c r="P49" s="14" t="n">
        <v>1.5</v>
      </c>
      <c r="Q49" s="14"/>
      <c r="R49" s="14" t="n">
        <v>1.1</v>
      </c>
      <c r="S49" s="14" t="n">
        <v>184.86</v>
      </c>
      <c r="T49" s="14" t="n">
        <v>0.9</v>
      </c>
      <c r="U49" s="14" t="n">
        <v>7.74</v>
      </c>
      <c r="V49" s="14" t="n">
        <v>15.15</v>
      </c>
      <c r="W49" s="14" t="n">
        <v>208.65</v>
      </c>
      <c r="X49" s="14" t="n">
        <v>283.11</v>
      </c>
      <c r="Y49" s="14" t="n">
        <v>74.46</v>
      </c>
      <c r="Z49" s="14" t="n">
        <v>9.29</v>
      </c>
      <c r="AA49" s="14" t="n">
        <v>0.04</v>
      </c>
      <c r="AB49" s="14" t="n">
        <v>0</v>
      </c>
      <c r="AC49" s="14" t="n">
        <v>0.07</v>
      </c>
      <c r="AD49" s="15" t="n">
        <f aca="false">H49*E49/1000</f>
        <v>0.1003</v>
      </c>
      <c r="AE49" s="15" t="n">
        <f aca="false">I49*E49/1000</f>
        <v>0</v>
      </c>
      <c r="AF49" s="16" t="n">
        <f aca="false">ROUND(S49+T49+U49+V49-W49,2)</f>
        <v>0</v>
      </c>
      <c r="AG49" s="16" t="n">
        <f aca="false">ROUND(X49-W49-Y49,2)</f>
        <v>0</v>
      </c>
    </row>
    <row r="50" customFormat="false" ht="15" hidden="false" customHeight="false" outlineLevel="0" collapsed="false">
      <c r="A50" s="13" t="s">
        <v>217</v>
      </c>
      <c r="B50" s="13" t="s">
        <v>218</v>
      </c>
      <c r="C50" s="13" t="s">
        <v>246</v>
      </c>
      <c r="D50" s="13" t="s">
        <v>244</v>
      </c>
      <c r="E50" s="14" t="n">
        <v>37.5</v>
      </c>
      <c r="F50" s="14" t="n">
        <v>488</v>
      </c>
      <c r="G50" s="14" t="n">
        <v>18.3</v>
      </c>
      <c r="H50" s="14"/>
      <c r="I50" s="14"/>
      <c r="J50" s="14" t="n">
        <v>63.73</v>
      </c>
      <c r="K50" s="14" t="n">
        <v>162.86</v>
      </c>
      <c r="L50" s="14" t="n">
        <v>2.07</v>
      </c>
      <c r="M50" s="14" t="n">
        <v>12.44</v>
      </c>
      <c r="N50" s="14" t="n">
        <v>3.9</v>
      </c>
      <c r="O50" s="14" t="n">
        <v>0.45</v>
      </c>
      <c r="P50" s="14" t="n">
        <v>1.5</v>
      </c>
      <c r="Q50" s="14"/>
      <c r="R50" s="14" t="n">
        <v>1.1</v>
      </c>
      <c r="S50" s="14" t="n">
        <v>184.32</v>
      </c>
      <c r="T50" s="14" t="n">
        <v>0.9</v>
      </c>
      <c r="U50" s="14" t="n">
        <v>7.74</v>
      </c>
      <c r="V50" s="14" t="n">
        <v>16.01</v>
      </c>
      <c r="W50" s="14" t="n">
        <v>208.97</v>
      </c>
      <c r="X50" s="14" t="n">
        <v>283.11</v>
      </c>
      <c r="Y50" s="14" t="n">
        <v>74.14</v>
      </c>
      <c r="Z50" s="14" t="n">
        <v>13.57</v>
      </c>
      <c r="AA50" s="14" t="n">
        <v>0</v>
      </c>
      <c r="AB50" s="14" t="n">
        <v>0</v>
      </c>
      <c r="AC50" s="14" t="n">
        <v>0</v>
      </c>
      <c r="AD50" s="15" t="n">
        <f aca="false">H50*E50/1000</f>
        <v>0</v>
      </c>
      <c r="AE50" s="15" t="n">
        <f aca="false">I50*E50/1000</f>
        <v>0</v>
      </c>
      <c r="AF50" s="16" t="n">
        <f aca="false">ROUND(S50+T50+U50+V50-W50,2)</f>
        <v>0</v>
      </c>
      <c r="AG50" s="16" t="n">
        <f aca="false">ROUND(X50-W50-Y50,2)</f>
        <v>0</v>
      </c>
    </row>
    <row r="51" customFormat="false" ht="15" hidden="false" customHeight="false" outlineLevel="0" collapsed="false">
      <c r="A51" s="13" t="s">
        <v>217</v>
      </c>
      <c r="B51" s="13" t="s">
        <v>218</v>
      </c>
      <c r="C51" s="13" t="s">
        <v>246</v>
      </c>
      <c r="D51" s="13" t="s">
        <v>245</v>
      </c>
      <c r="E51" s="14" t="n">
        <v>35.75</v>
      </c>
      <c r="F51" s="14" t="n">
        <v>116</v>
      </c>
      <c r="G51" s="14" t="n">
        <v>4.147</v>
      </c>
      <c r="H51" s="14"/>
      <c r="I51" s="14"/>
      <c r="J51" s="14" t="n">
        <v>70.98</v>
      </c>
      <c r="K51" s="14" t="n">
        <v>161.88</v>
      </c>
      <c r="L51" s="14" t="n">
        <v>1.86</v>
      </c>
      <c r="M51" s="14" t="n">
        <v>12.26</v>
      </c>
      <c r="N51" s="14" t="n">
        <v>3.9</v>
      </c>
      <c r="O51" s="14" t="n">
        <v>0.45</v>
      </c>
      <c r="P51" s="14" t="n">
        <v>1.5</v>
      </c>
      <c r="Q51" s="14"/>
      <c r="R51" s="14" t="n">
        <v>1.1</v>
      </c>
      <c r="S51" s="14" t="n">
        <v>182.95</v>
      </c>
      <c r="T51" s="14" t="n">
        <v>0.9</v>
      </c>
      <c r="U51" s="14" t="n">
        <v>7.74</v>
      </c>
      <c r="V51" s="14" t="n">
        <v>15.09</v>
      </c>
      <c r="W51" s="14" t="n">
        <v>206.68</v>
      </c>
      <c r="X51" s="14" t="n">
        <v>283.11</v>
      </c>
      <c r="Y51" s="14" t="n">
        <v>76.43</v>
      </c>
      <c r="Z51" s="14" t="n">
        <v>3.17</v>
      </c>
      <c r="AA51" s="14" t="n">
        <v>0</v>
      </c>
      <c r="AB51" s="14" t="n">
        <v>0</v>
      </c>
      <c r="AC51" s="14" t="n">
        <v>0</v>
      </c>
      <c r="AD51" s="15" t="n">
        <f aca="false">H51*E51/1000</f>
        <v>0</v>
      </c>
      <c r="AE51" s="15" t="n">
        <f aca="false">I51*E51/1000</f>
        <v>0</v>
      </c>
      <c r="AF51" s="16" t="n">
        <f aca="false">ROUND(S51+T51+U51+V51-W51,2)</f>
        <v>0</v>
      </c>
      <c r="AG51" s="16" t="n">
        <f aca="false">ROUND(X51-W51-Y51,2)</f>
        <v>0</v>
      </c>
    </row>
    <row r="52" customFormat="false" ht="15" hidden="false" customHeight="false" outlineLevel="0" collapsed="false">
      <c r="A52" s="13" t="s">
        <v>217</v>
      </c>
      <c r="B52" s="13" t="s">
        <v>218</v>
      </c>
      <c r="C52" s="13" t="s">
        <v>246</v>
      </c>
      <c r="D52" s="13" t="s">
        <v>248</v>
      </c>
      <c r="E52" s="14" t="n">
        <v>66.3</v>
      </c>
      <c r="F52" s="14" t="n">
        <v>3</v>
      </c>
      <c r="G52" s="14" t="n">
        <v>0.1989</v>
      </c>
      <c r="H52" s="14"/>
      <c r="I52" s="14"/>
      <c r="J52" s="14" t="n">
        <v>72.22</v>
      </c>
      <c r="K52" s="14" t="n">
        <v>161.73</v>
      </c>
      <c r="L52" s="14" t="n">
        <v>1.83</v>
      </c>
      <c r="M52" s="14" t="n">
        <v>11.47</v>
      </c>
      <c r="N52" s="14" t="n">
        <v>3.9</v>
      </c>
      <c r="O52" s="14" t="n">
        <v>0.45</v>
      </c>
      <c r="P52" s="14" t="n">
        <v>1.5</v>
      </c>
      <c r="Q52" s="14"/>
      <c r="R52" s="14" t="n">
        <v>1.1</v>
      </c>
      <c r="S52" s="14" t="n">
        <v>181.97</v>
      </c>
      <c r="T52" s="14" t="n">
        <v>0.9</v>
      </c>
      <c r="U52" s="14" t="n">
        <v>7.74</v>
      </c>
      <c r="V52" s="14" t="n">
        <v>14.95</v>
      </c>
      <c r="W52" s="14" t="n">
        <v>205.56</v>
      </c>
      <c r="X52" s="14" t="n">
        <v>282.19</v>
      </c>
      <c r="Y52" s="14" t="n">
        <v>76.63</v>
      </c>
      <c r="Z52" s="14" t="n">
        <v>0.15</v>
      </c>
      <c r="AA52" s="14" t="n">
        <v>0</v>
      </c>
      <c r="AB52" s="14" t="n">
        <v>0</v>
      </c>
      <c r="AC52" s="14" t="n">
        <v>0</v>
      </c>
      <c r="AD52" s="15" t="n">
        <f aca="false">H52*E52/1000</f>
        <v>0</v>
      </c>
      <c r="AE52" s="15" t="n">
        <f aca="false">I52*E52/1000</f>
        <v>0</v>
      </c>
      <c r="AF52" s="16" t="n">
        <f aca="false">ROUND(S52+T52+U52+V52-W52,2)</f>
        <v>0</v>
      </c>
      <c r="AG52" s="16" t="n">
        <f aca="false">ROUND(X52-W52-Y52,2)</f>
        <v>0</v>
      </c>
    </row>
    <row r="53" customFormat="false" ht="15" hidden="false" customHeight="false" outlineLevel="0" collapsed="false">
      <c r="A53" s="13" t="s">
        <v>217</v>
      </c>
      <c r="B53" s="13" t="s">
        <v>218</v>
      </c>
      <c r="C53" s="13" t="s">
        <v>246</v>
      </c>
      <c r="D53" s="13" t="s">
        <v>249</v>
      </c>
      <c r="E53" s="14" t="n">
        <v>62</v>
      </c>
      <c r="F53" s="14" t="n">
        <v>3</v>
      </c>
      <c r="G53" s="14" t="n">
        <v>0.186</v>
      </c>
      <c r="H53" s="14"/>
      <c r="I53" s="14"/>
      <c r="J53" s="14" t="n">
        <v>71.79</v>
      </c>
      <c r="K53" s="14" t="n">
        <v>161.78</v>
      </c>
      <c r="L53" s="14" t="n">
        <v>1.84</v>
      </c>
      <c r="M53" s="14" t="n">
        <v>11.67</v>
      </c>
      <c r="N53" s="14" t="n">
        <v>3.9</v>
      </c>
      <c r="O53" s="14" t="n">
        <v>0.45</v>
      </c>
      <c r="P53" s="14" t="n">
        <v>1.5</v>
      </c>
      <c r="Q53" s="14"/>
      <c r="R53" s="14" t="n">
        <v>1.1</v>
      </c>
      <c r="S53" s="14" t="n">
        <v>182.24</v>
      </c>
      <c r="T53" s="14" t="n">
        <v>0.9</v>
      </c>
      <c r="U53" s="14" t="n">
        <v>7.74</v>
      </c>
      <c r="V53" s="14" t="n">
        <v>14.99</v>
      </c>
      <c r="W53" s="14" t="n">
        <v>205.87</v>
      </c>
      <c r="X53" s="14" t="n">
        <v>282.19</v>
      </c>
      <c r="Y53" s="14" t="n">
        <v>76.32</v>
      </c>
      <c r="Z53" s="14" t="n">
        <v>0.14</v>
      </c>
      <c r="AA53" s="14" t="n">
        <v>0</v>
      </c>
      <c r="AB53" s="14" t="n">
        <v>0</v>
      </c>
      <c r="AC53" s="14" t="n">
        <v>0</v>
      </c>
      <c r="AD53" s="15" t="n">
        <f aca="false">H53*E53/1000</f>
        <v>0</v>
      </c>
      <c r="AE53" s="15" t="n">
        <f aca="false">I53*E53/1000</f>
        <v>0</v>
      </c>
      <c r="AF53" s="16" t="n">
        <f aca="false">ROUND(S53+T53+U53+V53-W53,2)</f>
        <v>0</v>
      </c>
      <c r="AG53" s="16" t="n">
        <f aca="false">ROUND(X53-W53-Y53,2)</f>
        <v>0</v>
      </c>
    </row>
    <row r="54" customFormat="false" ht="15" hidden="false" customHeight="false" outlineLevel="0" collapsed="false">
      <c r="A54" s="13" t="s">
        <v>217</v>
      </c>
      <c r="B54" s="13" t="s">
        <v>218</v>
      </c>
      <c r="C54" s="13" t="s">
        <v>246</v>
      </c>
      <c r="D54" s="13" t="s">
        <v>250</v>
      </c>
      <c r="E54" s="14" t="n">
        <v>44.15</v>
      </c>
      <c r="F54" s="14" t="n">
        <v>4</v>
      </c>
      <c r="G54" s="14" t="n">
        <v>0.1766</v>
      </c>
      <c r="H54" s="14"/>
      <c r="I54" s="14"/>
      <c r="J54" s="14" t="n">
        <v>67.89</v>
      </c>
      <c r="K54" s="14" t="n">
        <v>162.27</v>
      </c>
      <c r="L54" s="14" t="n">
        <v>1.94</v>
      </c>
      <c r="M54" s="14" t="n">
        <v>11.52</v>
      </c>
      <c r="N54" s="14" t="n">
        <v>3.9</v>
      </c>
      <c r="O54" s="14" t="n">
        <v>0.45</v>
      </c>
      <c r="P54" s="14" t="n">
        <v>1.5</v>
      </c>
      <c r="Q54" s="14"/>
      <c r="R54" s="14" t="n">
        <v>1.1</v>
      </c>
      <c r="S54" s="14" t="n">
        <v>182.68</v>
      </c>
      <c r="T54" s="14" t="n">
        <v>0.9</v>
      </c>
      <c r="U54" s="14" t="n">
        <v>7.74</v>
      </c>
      <c r="V54" s="14" t="n">
        <v>15.46</v>
      </c>
      <c r="W54" s="14" t="n">
        <v>206.78</v>
      </c>
      <c r="X54" s="14" t="n">
        <v>282.19</v>
      </c>
      <c r="Y54" s="14" t="n">
        <v>75.41</v>
      </c>
      <c r="Z54" s="14" t="n">
        <v>0.13</v>
      </c>
      <c r="AA54" s="14" t="n">
        <v>0</v>
      </c>
      <c r="AB54" s="14" t="n">
        <v>0</v>
      </c>
      <c r="AC54" s="14" t="n">
        <v>0</v>
      </c>
      <c r="AD54" s="15" t="n">
        <f aca="false">H54*E54/1000</f>
        <v>0</v>
      </c>
      <c r="AE54" s="15" t="n">
        <f aca="false">I54*E54/1000</f>
        <v>0</v>
      </c>
      <c r="AF54" s="16" t="n">
        <f aca="false">ROUND(S54+T54+U54+V54-W54,2)</f>
        <v>0</v>
      </c>
      <c r="AG54" s="16" t="n">
        <f aca="false">ROUND(X54-W54-Y54,2)</f>
        <v>0</v>
      </c>
    </row>
    <row r="55" customFormat="false" ht="15" hidden="false" customHeight="false" outlineLevel="0" collapsed="false">
      <c r="A55" s="13" t="s">
        <v>217</v>
      </c>
      <c r="B55" s="13" t="s">
        <v>218</v>
      </c>
      <c r="C55" s="13" t="s">
        <v>246</v>
      </c>
      <c r="D55" s="13" t="s">
        <v>251</v>
      </c>
      <c r="E55" s="14" t="n">
        <v>63</v>
      </c>
      <c r="F55" s="14" t="n">
        <v>3</v>
      </c>
      <c r="G55" s="14" t="n">
        <v>0.189</v>
      </c>
      <c r="H55" s="14"/>
      <c r="I55" s="14"/>
      <c r="J55" s="14" t="n">
        <v>66.67</v>
      </c>
      <c r="K55" s="14" t="n">
        <v>162.44</v>
      </c>
      <c r="L55" s="14" t="n">
        <v>1.98</v>
      </c>
      <c r="M55" s="14" t="n">
        <v>12.26</v>
      </c>
      <c r="N55" s="14" t="n">
        <v>3.9</v>
      </c>
      <c r="O55" s="14" t="n">
        <v>0.45</v>
      </c>
      <c r="P55" s="14" t="n">
        <v>1.5</v>
      </c>
      <c r="Q55" s="14"/>
      <c r="R55" s="14" t="n">
        <v>1.1</v>
      </c>
      <c r="S55" s="14" t="n">
        <v>183.63</v>
      </c>
      <c r="T55" s="14" t="n">
        <v>0.9</v>
      </c>
      <c r="U55" s="14" t="n">
        <v>7.74</v>
      </c>
      <c r="V55" s="14" t="n">
        <v>15.61</v>
      </c>
      <c r="W55" s="14" t="n">
        <v>207.88</v>
      </c>
      <c r="X55" s="14" t="n">
        <v>282.19</v>
      </c>
      <c r="Y55" s="14" t="n">
        <v>74.31</v>
      </c>
      <c r="Z55" s="14" t="n">
        <v>0.14</v>
      </c>
      <c r="AA55" s="14" t="n">
        <v>0</v>
      </c>
      <c r="AB55" s="14" t="n">
        <v>0</v>
      </c>
      <c r="AC55" s="14" t="n">
        <v>0</v>
      </c>
      <c r="AD55" s="15" t="n">
        <f aca="false">H55*E55/1000</f>
        <v>0</v>
      </c>
      <c r="AE55" s="15" t="n">
        <f aca="false">I55*E55/1000</f>
        <v>0</v>
      </c>
      <c r="AF55" s="16" t="n">
        <f aca="false">ROUND(S55+T55+U55+V55-W55,2)</f>
        <v>0</v>
      </c>
      <c r="AG55" s="16" t="n">
        <f aca="false">ROUND(X55-W55-Y55,2)</f>
        <v>0</v>
      </c>
    </row>
    <row r="56" customFormat="false" ht="15" hidden="false" customHeight="false" outlineLevel="0" collapsed="false">
      <c r="A56" s="13" t="s">
        <v>217</v>
      </c>
      <c r="B56" s="13" t="s">
        <v>218</v>
      </c>
      <c r="C56" s="13" t="s">
        <v>246</v>
      </c>
      <c r="D56" s="13" t="s">
        <v>252</v>
      </c>
      <c r="E56" s="14" t="n">
        <v>47</v>
      </c>
      <c r="F56" s="14" t="n">
        <v>4</v>
      </c>
      <c r="G56" s="14" t="n">
        <v>0.188</v>
      </c>
      <c r="H56" s="14"/>
      <c r="I56" s="14"/>
      <c r="J56" s="14" t="n">
        <v>68.2</v>
      </c>
      <c r="K56" s="14" t="n">
        <v>162.23</v>
      </c>
      <c r="L56" s="14" t="n">
        <v>1.94</v>
      </c>
      <c r="M56" s="14" t="n">
        <v>11.42</v>
      </c>
      <c r="N56" s="14" t="n">
        <v>3.9</v>
      </c>
      <c r="O56" s="14" t="n">
        <v>0.45</v>
      </c>
      <c r="P56" s="14" t="n">
        <v>1.5</v>
      </c>
      <c r="Q56" s="14"/>
      <c r="R56" s="14" t="n">
        <v>1.1</v>
      </c>
      <c r="S56" s="14" t="n">
        <v>182.54</v>
      </c>
      <c r="T56" s="14" t="n">
        <v>0.9</v>
      </c>
      <c r="U56" s="14" t="n">
        <v>7.74</v>
      </c>
      <c r="V56" s="14" t="n">
        <v>15.42</v>
      </c>
      <c r="W56" s="14" t="n">
        <v>206.6</v>
      </c>
      <c r="X56" s="14" t="n">
        <v>282.19</v>
      </c>
      <c r="Y56" s="14" t="n">
        <v>75.59</v>
      </c>
      <c r="Z56" s="14" t="n">
        <v>0.14</v>
      </c>
      <c r="AA56" s="14" t="n">
        <v>0</v>
      </c>
      <c r="AB56" s="14" t="n">
        <v>0</v>
      </c>
      <c r="AC56" s="14" t="n">
        <v>0</v>
      </c>
      <c r="AD56" s="15" t="n">
        <f aca="false">H56*E56/1000</f>
        <v>0</v>
      </c>
      <c r="AE56" s="15" t="n">
        <f aca="false">I56*E56/1000</f>
        <v>0</v>
      </c>
      <c r="AF56" s="16" t="n">
        <f aca="false">ROUND(S56+T56+U56+V56-W56,2)</f>
        <v>0</v>
      </c>
      <c r="AG56" s="16" t="n">
        <f aca="false">ROUND(X56-W56-Y56,2)</f>
        <v>0</v>
      </c>
    </row>
    <row r="57" customFormat="false" ht="15" hidden="false" customHeight="false" outlineLevel="0" collapsed="false">
      <c r="A57" s="13" t="s">
        <v>217</v>
      </c>
      <c r="B57" s="13" t="s">
        <v>218</v>
      </c>
      <c r="C57" s="13" t="s">
        <v>246</v>
      </c>
      <c r="D57" s="13" t="s">
        <v>253</v>
      </c>
      <c r="E57" s="14" t="n">
        <v>32.7</v>
      </c>
      <c r="F57" s="14" t="n">
        <v>124</v>
      </c>
      <c r="G57" s="14" t="n">
        <v>4.0548</v>
      </c>
      <c r="H57" s="14"/>
      <c r="I57" s="14"/>
      <c r="J57" s="14" t="n">
        <v>62.55</v>
      </c>
      <c r="K57" s="14" t="n">
        <v>163.04</v>
      </c>
      <c r="L57" s="14" t="n">
        <v>2.11</v>
      </c>
      <c r="M57" s="14" t="n">
        <v>13.49</v>
      </c>
      <c r="N57" s="14" t="n">
        <v>3.9</v>
      </c>
      <c r="O57" s="14" t="n">
        <v>0.45</v>
      </c>
      <c r="P57" s="14" t="n">
        <v>1.5</v>
      </c>
      <c r="Q57" s="14"/>
      <c r="R57" s="14" t="n">
        <v>1.1</v>
      </c>
      <c r="S57" s="14" t="n">
        <v>185.59</v>
      </c>
      <c r="T57" s="14" t="n">
        <v>0.9</v>
      </c>
      <c r="U57" s="14" t="n">
        <v>7.74</v>
      </c>
      <c r="V57" s="14" t="n">
        <v>16.19</v>
      </c>
      <c r="W57" s="14" t="n">
        <v>210.41</v>
      </c>
      <c r="X57" s="14" t="n">
        <v>282.19</v>
      </c>
      <c r="Y57" s="14" t="n">
        <v>71.78</v>
      </c>
      <c r="Z57" s="14" t="n">
        <v>2.91</v>
      </c>
      <c r="AA57" s="14" t="n">
        <v>0</v>
      </c>
      <c r="AB57" s="14" t="n">
        <v>0</v>
      </c>
      <c r="AC57" s="14" t="n">
        <v>0</v>
      </c>
      <c r="AD57" s="15" t="n">
        <f aca="false">H57*E57/1000</f>
        <v>0</v>
      </c>
      <c r="AE57" s="15" t="n">
        <f aca="false">I57*E57/1000</f>
        <v>0</v>
      </c>
      <c r="AF57" s="16" t="n">
        <f aca="false">ROUND(S57+T57+U57+V57-W57,2)</f>
        <v>0.01</v>
      </c>
      <c r="AG57" s="16" t="n">
        <f aca="false">ROUND(X57-W57-Y57,2)</f>
        <v>0</v>
      </c>
    </row>
    <row r="58" customFormat="false" ht="15" hidden="false" customHeight="false" outlineLevel="0" collapsed="false">
      <c r="A58" s="13" t="s">
        <v>217</v>
      </c>
      <c r="B58" s="13" t="s">
        <v>218</v>
      </c>
      <c r="C58" s="13" t="s">
        <v>246</v>
      </c>
      <c r="D58" s="13" t="s">
        <v>254</v>
      </c>
      <c r="E58" s="14" t="n">
        <v>29</v>
      </c>
      <c r="F58" s="14" t="n">
        <v>8</v>
      </c>
      <c r="G58" s="14" t="n">
        <v>0.232</v>
      </c>
      <c r="H58" s="14"/>
      <c r="I58" s="14"/>
      <c r="J58" s="14" t="n">
        <v>63.01</v>
      </c>
      <c r="K58" s="14" t="n">
        <v>162.97</v>
      </c>
      <c r="L58" s="14" t="n">
        <v>2.09</v>
      </c>
      <c r="M58" s="14" t="n">
        <v>16.62</v>
      </c>
      <c r="N58" s="14" t="n">
        <v>3.9</v>
      </c>
      <c r="O58" s="14" t="n">
        <v>0.45</v>
      </c>
      <c r="P58" s="14" t="n">
        <v>1.5</v>
      </c>
      <c r="Q58" s="14"/>
      <c r="R58" s="14" t="n">
        <v>1.1</v>
      </c>
      <c r="S58" s="14" t="n">
        <v>188.64</v>
      </c>
      <c r="T58" s="14" t="n">
        <v>0.9</v>
      </c>
      <c r="U58" s="14" t="n">
        <v>7.74</v>
      </c>
      <c r="V58" s="14" t="n">
        <v>16.12</v>
      </c>
      <c r="W58" s="14" t="n">
        <v>213.39</v>
      </c>
      <c r="X58" s="14" t="n">
        <v>282.19</v>
      </c>
      <c r="Y58" s="14" t="n">
        <v>68.8</v>
      </c>
      <c r="Z58" s="14" t="n">
        <v>0.16</v>
      </c>
      <c r="AA58" s="14" t="n">
        <v>0</v>
      </c>
      <c r="AB58" s="14" t="n">
        <v>0</v>
      </c>
      <c r="AC58" s="14" t="n">
        <v>0</v>
      </c>
      <c r="AD58" s="15" t="n">
        <f aca="false">H58*E58/1000</f>
        <v>0</v>
      </c>
      <c r="AE58" s="15" t="n">
        <f aca="false">I58*E58/1000</f>
        <v>0</v>
      </c>
      <c r="AF58" s="16" t="n">
        <f aca="false">ROUND(S58+T58+U58+V58-W58,2)</f>
        <v>0.01</v>
      </c>
      <c r="AG58" s="16" t="n">
        <f aca="false">ROUND(X58-W58-Y58,2)</f>
        <v>0</v>
      </c>
    </row>
    <row r="59" customFormat="false" ht="15" hidden="false" customHeight="false" outlineLevel="0" collapsed="false">
      <c r="A59" s="13" t="s">
        <v>217</v>
      </c>
      <c r="B59" s="13" t="s">
        <v>218</v>
      </c>
      <c r="C59" s="13" t="s">
        <v>246</v>
      </c>
      <c r="D59" s="13" t="s">
        <v>255</v>
      </c>
      <c r="E59" s="14" t="n">
        <v>95</v>
      </c>
      <c r="F59" s="14" t="n">
        <v>3</v>
      </c>
      <c r="G59" s="14" t="n">
        <v>0.285</v>
      </c>
      <c r="H59" s="14"/>
      <c r="I59" s="14"/>
      <c r="J59" s="14" t="n">
        <v>73.53</v>
      </c>
      <c r="K59" s="14" t="n">
        <v>50.9</v>
      </c>
      <c r="L59" s="14" t="n">
        <v>1.8</v>
      </c>
      <c r="M59" s="14" t="n">
        <v>14.86</v>
      </c>
      <c r="N59" s="14" t="n">
        <v>3.9</v>
      </c>
      <c r="O59" s="14" t="n">
        <v>0.45</v>
      </c>
      <c r="P59" s="14" t="n">
        <v>1.5</v>
      </c>
      <c r="Q59" s="14"/>
      <c r="R59" s="14" t="n">
        <v>1.1</v>
      </c>
      <c r="S59" s="14" t="n">
        <v>74.5</v>
      </c>
      <c r="T59" s="14" t="n">
        <v>0.9</v>
      </c>
      <c r="U59" s="14" t="n">
        <v>7.74</v>
      </c>
      <c r="V59" s="14" t="n">
        <v>14.8</v>
      </c>
      <c r="W59" s="14" t="n">
        <v>97.94</v>
      </c>
      <c r="X59" s="14" t="n">
        <v>155</v>
      </c>
      <c r="Y59" s="14" t="n">
        <v>57.06</v>
      </c>
      <c r="Z59" s="14" t="n">
        <v>0.16</v>
      </c>
      <c r="AA59" s="14" t="n">
        <v>0</v>
      </c>
      <c r="AB59" s="14" t="n">
        <v>0</v>
      </c>
      <c r="AC59" s="14" t="n">
        <v>0</v>
      </c>
      <c r="AD59" s="15" t="n">
        <f aca="false">H59*E59/1000</f>
        <v>0</v>
      </c>
      <c r="AE59" s="15" t="n">
        <f aca="false">I59*E59/1000</f>
        <v>0</v>
      </c>
      <c r="AF59" s="16" t="n">
        <f aca="false">ROUND(S59+T59+U59+V59-W59,2)</f>
        <v>0</v>
      </c>
      <c r="AG59" s="16" t="n">
        <f aca="false">ROUND(X59-W59-Y59,2)</f>
        <v>0</v>
      </c>
    </row>
    <row r="60" customFormat="false" ht="15" hidden="false" customHeight="false" outlineLevel="0" collapsed="false">
      <c r="A60" s="13" t="s">
        <v>217</v>
      </c>
      <c r="B60" s="13" t="s">
        <v>256</v>
      </c>
      <c r="C60" s="13" t="s">
        <v>219</v>
      </c>
      <c r="D60" s="13" t="s">
        <v>232</v>
      </c>
      <c r="E60" s="14" t="n">
        <v>50.15</v>
      </c>
      <c r="F60" s="14" t="n">
        <v>449</v>
      </c>
      <c r="G60" s="14" t="n">
        <v>22.52</v>
      </c>
      <c r="H60" s="14" t="n">
        <v>30</v>
      </c>
      <c r="I60" s="14" t="n">
        <v>4</v>
      </c>
      <c r="J60" s="14" t="n">
        <v>70.44</v>
      </c>
      <c r="K60" s="14" t="n">
        <v>149.88</v>
      </c>
      <c r="L60" s="14" t="n">
        <v>1.87</v>
      </c>
      <c r="M60" s="14" t="n">
        <v>14.1</v>
      </c>
      <c r="N60" s="14" t="n">
        <v>3.9</v>
      </c>
      <c r="O60" s="14" t="n">
        <v>0.45</v>
      </c>
      <c r="P60" s="14" t="n">
        <v>1.5</v>
      </c>
      <c r="Q60" s="14"/>
      <c r="R60" s="14" t="n">
        <v>1.1</v>
      </c>
      <c r="S60" s="14" t="n">
        <v>172.8</v>
      </c>
      <c r="T60" s="14" t="n">
        <v>0.9</v>
      </c>
      <c r="U60" s="14" t="n">
        <v>7.74</v>
      </c>
      <c r="V60" s="14" t="n">
        <v>15.15</v>
      </c>
      <c r="W60" s="14" t="n">
        <v>196.59</v>
      </c>
      <c r="X60" s="14" t="n">
        <v>282.19</v>
      </c>
      <c r="Y60" s="14" t="n">
        <v>85.6</v>
      </c>
      <c r="Z60" s="14" t="n">
        <v>17.07</v>
      </c>
      <c r="AA60" s="14" t="n">
        <v>0.64</v>
      </c>
      <c r="AB60" s="14" t="n">
        <v>0.1</v>
      </c>
      <c r="AC60" s="14" t="n">
        <v>1.46</v>
      </c>
      <c r="AD60" s="15" t="n">
        <f aca="false">H60*E60/1000</f>
        <v>1.5045</v>
      </c>
      <c r="AE60" s="15" t="n">
        <f aca="false">I60*E60/1000</f>
        <v>0.2006</v>
      </c>
      <c r="AF60" s="16" t="n">
        <f aca="false">ROUND(S60+T60+U60+V60-W60,2)</f>
        <v>0</v>
      </c>
      <c r="AG60" s="16" t="n">
        <f aca="false">ROUND(X60-W60-Y60,2)</f>
        <v>0</v>
      </c>
    </row>
    <row r="61" customFormat="false" ht="15" hidden="false" customHeight="false" outlineLevel="0" collapsed="false">
      <c r="A61" s="13" t="s">
        <v>217</v>
      </c>
      <c r="B61" s="13" t="s">
        <v>256</v>
      </c>
      <c r="C61" s="13" t="s">
        <v>219</v>
      </c>
      <c r="D61" s="13" t="s">
        <v>244</v>
      </c>
      <c r="E61" s="14" t="n">
        <v>37.5</v>
      </c>
      <c r="F61" s="14" t="n">
        <v>8</v>
      </c>
      <c r="G61" s="14" t="n">
        <v>0.3</v>
      </c>
      <c r="H61" s="14" t="n">
        <v>16</v>
      </c>
      <c r="I61" s="14"/>
      <c r="J61" s="14" t="n">
        <v>63.73</v>
      </c>
      <c r="K61" s="14" t="n">
        <v>150.73</v>
      </c>
      <c r="L61" s="14" t="n">
        <v>2.07</v>
      </c>
      <c r="M61" s="14" t="n">
        <v>12.44</v>
      </c>
      <c r="N61" s="14" t="n">
        <v>3.9</v>
      </c>
      <c r="O61" s="14" t="n">
        <v>0.45</v>
      </c>
      <c r="P61" s="14" t="n">
        <v>1.5</v>
      </c>
      <c r="Q61" s="14"/>
      <c r="R61" s="14" t="n">
        <v>1.1</v>
      </c>
      <c r="S61" s="14" t="n">
        <v>172.19</v>
      </c>
      <c r="T61" s="14" t="n">
        <v>0.9</v>
      </c>
      <c r="U61" s="14" t="n">
        <v>7.74</v>
      </c>
      <c r="V61" s="14" t="n">
        <v>16.01</v>
      </c>
      <c r="W61" s="14" t="n">
        <v>196.84</v>
      </c>
      <c r="X61" s="14" t="n">
        <v>282.19</v>
      </c>
      <c r="Y61" s="14" t="n">
        <v>85.35</v>
      </c>
      <c r="Z61" s="14" t="n">
        <v>-0.51</v>
      </c>
      <c r="AA61" s="14" t="n">
        <v>0.26</v>
      </c>
      <c r="AB61" s="14" t="n">
        <v>0</v>
      </c>
      <c r="AC61" s="14" t="n">
        <v>0.51</v>
      </c>
      <c r="AD61" s="15" t="n">
        <f aca="false">H61*E61/1000</f>
        <v>0.6</v>
      </c>
      <c r="AE61" s="15" t="n">
        <f aca="false">I61*E61/1000</f>
        <v>0</v>
      </c>
      <c r="AF61" s="16" t="n">
        <f aca="false">ROUND(S61+T61+U61+V61-W61,2)</f>
        <v>0</v>
      </c>
      <c r="AG61" s="16" t="n">
        <f aca="false">ROUND(X61-W61-Y61,2)</f>
        <v>0</v>
      </c>
    </row>
    <row r="62" customFormat="false" ht="15" hidden="false" customHeight="false" outlineLevel="0" collapsed="false">
      <c r="A62" s="13" t="s">
        <v>217</v>
      </c>
      <c r="B62" s="13" t="s">
        <v>256</v>
      </c>
      <c r="C62" s="13" t="s">
        <v>219</v>
      </c>
      <c r="D62" s="13" t="s">
        <v>245</v>
      </c>
      <c r="E62" s="14" t="n">
        <v>35.75</v>
      </c>
      <c r="F62" s="14" t="n">
        <v>8</v>
      </c>
      <c r="G62" s="14" t="n">
        <v>0.29</v>
      </c>
      <c r="H62" s="14" t="n">
        <v>16</v>
      </c>
      <c r="I62" s="14" t="n">
        <v>1</v>
      </c>
      <c r="J62" s="14" t="n">
        <v>70.98</v>
      </c>
      <c r="K62" s="14" t="n">
        <v>149.82</v>
      </c>
      <c r="L62" s="14" t="n">
        <v>1.86</v>
      </c>
      <c r="M62" s="14" t="n">
        <v>12.26</v>
      </c>
      <c r="N62" s="14" t="n">
        <v>3.9</v>
      </c>
      <c r="O62" s="14" t="n">
        <v>0.45</v>
      </c>
      <c r="P62" s="14" t="n">
        <v>1.5</v>
      </c>
      <c r="Q62" s="14"/>
      <c r="R62" s="14" t="n">
        <v>1.1</v>
      </c>
      <c r="S62" s="14" t="n">
        <v>170.9</v>
      </c>
      <c r="T62" s="14" t="n">
        <v>0.9</v>
      </c>
      <c r="U62" s="14" t="n">
        <v>7.74</v>
      </c>
      <c r="V62" s="14" t="n">
        <v>15.09</v>
      </c>
      <c r="W62" s="14" t="n">
        <v>194.62</v>
      </c>
      <c r="X62" s="14" t="n">
        <v>282.19</v>
      </c>
      <c r="Y62" s="14" t="n">
        <v>87.57</v>
      </c>
      <c r="Z62" s="14" t="n">
        <v>-0.53</v>
      </c>
      <c r="AA62" s="14" t="n">
        <v>0.23</v>
      </c>
      <c r="AB62" s="14" t="n">
        <v>0.02</v>
      </c>
      <c r="AC62" s="14" t="n">
        <v>0.53</v>
      </c>
      <c r="AD62" s="15" t="n">
        <f aca="false">H62*E62/1000</f>
        <v>0.572</v>
      </c>
      <c r="AE62" s="15" t="n">
        <f aca="false">I62*E62/1000</f>
        <v>0.03575</v>
      </c>
      <c r="AF62" s="16" t="n">
        <f aca="false">ROUND(S62+T62+U62+V62-W62,2)</f>
        <v>0.01</v>
      </c>
      <c r="AG62" s="16" t="n">
        <f aca="false">ROUND(X62-W62-Y62,2)</f>
        <v>0</v>
      </c>
    </row>
    <row r="63" customFormat="false" ht="15" hidden="false" customHeight="false" outlineLevel="0" collapsed="false">
      <c r="A63" s="13" t="s">
        <v>217</v>
      </c>
      <c r="B63" s="13" t="s">
        <v>256</v>
      </c>
      <c r="C63" s="13" t="s">
        <v>219</v>
      </c>
      <c r="D63" s="13" t="s">
        <v>248</v>
      </c>
      <c r="E63" s="14" t="n">
        <v>66.3</v>
      </c>
      <c r="F63" s="14" t="n">
        <v>398</v>
      </c>
      <c r="G63" s="14" t="n">
        <v>26.39</v>
      </c>
      <c r="H63" s="14" t="n">
        <v>5</v>
      </c>
      <c r="I63" s="14"/>
      <c r="J63" s="14" t="n">
        <v>72.22</v>
      </c>
      <c r="K63" s="14" t="n">
        <v>149.69</v>
      </c>
      <c r="L63" s="14" t="n">
        <v>1.83</v>
      </c>
      <c r="M63" s="14" t="n">
        <v>11.47</v>
      </c>
      <c r="N63" s="14" t="n">
        <v>3.9</v>
      </c>
      <c r="O63" s="14" t="n">
        <v>0.45</v>
      </c>
      <c r="P63" s="14" t="n">
        <v>1.5</v>
      </c>
      <c r="Q63" s="14"/>
      <c r="R63" s="14" t="n">
        <v>1.1</v>
      </c>
      <c r="S63" s="14" t="n">
        <v>169.93</v>
      </c>
      <c r="T63" s="14" t="n">
        <v>0.9</v>
      </c>
      <c r="U63" s="14" t="n">
        <v>7.74</v>
      </c>
      <c r="V63" s="14" t="n">
        <v>14.95</v>
      </c>
      <c r="W63" s="14" t="n">
        <v>193.52</v>
      </c>
      <c r="X63" s="14" t="n">
        <v>282.19</v>
      </c>
      <c r="Y63" s="14" t="n">
        <v>88.67</v>
      </c>
      <c r="Z63" s="14" t="n">
        <v>22.97</v>
      </c>
      <c r="AA63" s="14" t="n">
        <v>0.13</v>
      </c>
      <c r="AB63" s="14" t="n">
        <v>0</v>
      </c>
      <c r="AC63" s="14" t="n">
        <v>0.29</v>
      </c>
      <c r="AD63" s="15" t="n">
        <f aca="false">H63*E63/1000</f>
        <v>0.3315</v>
      </c>
      <c r="AE63" s="15" t="n">
        <f aca="false">I63*E63/1000</f>
        <v>0</v>
      </c>
      <c r="AF63" s="16" t="n">
        <f aca="false">ROUND(S63+T63+U63+V63-W63,2)</f>
        <v>0</v>
      </c>
      <c r="AG63" s="16" t="n">
        <f aca="false">ROUND(X63-W63-Y63,2)</f>
        <v>0</v>
      </c>
    </row>
    <row r="64" customFormat="false" ht="15" hidden="false" customHeight="false" outlineLevel="0" collapsed="false">
      <c r="A64" s="13" t="s">
        <v>217</v>
      </c>
      <c r="B64" s="13" t="s">
        <v>256</v>
      </c>
      <c r="C64" s="13" t="s">
        <v>219</v>
      </c>
      <c r="D64" s="13" t="s">
        <v>249</v>
      </c>
      <c r="E64" s="14" t="n">
        <v>62</v>
      </c>
      <c r="F64" s="14" t="n">
        <v>42</v>
      </c>
      <c r="G64" s="14" t="n">
        <v>2.6</v>
      </c>
      <c r="H64" s="14" t="n">
        <v>4</v>
      </c>
      <c r="I64" s="14" t="n">
        <v>1</v>
      </c>
      <c r="J64" s="14" t="n">
        <v>71.79</v>
      </c>
      <c r="K64" s="14" t="n">
        <v>149.73</v>
      </c>
      <c r="L64" s="14" t="n">
        <v>1.84</v>
      </c>
      <c r="M64" s="14" t="n">
        <v>11.67</v>
      </c>
      <c r="N64" s="14" t="n">
        <v>3.9</v>
      </c>
      <c r="O64" s="14" t="n">
        <v>0.45</v>
      </c>
      <c r="P64" s="14" t="n">
        <v>1.5</v>
      </c>
      <c r="Q64" s="14"/>
      <c r="R64" s="14" t="n">
        <v>1.1</v>
      </c>
      <c r="S64" s="14" t="n">
        <v>170.19</v>
      </c>
      <c r="T64" s="14" t="n">
        <v>0.9</v>
      </c>
      <c r="U64" s="14" t="n">
        <v>7.74</v>
      </c>
      <c r="V64" s="14" t="n">
        <v>14.99</v>
      </c>
      <c r="W64" s="14" t="n">
        <v>193.83</v>
      </c>
      <c r="X64" s="14" t="n">
        <v>282.19</v>
      </c>
      <c r="Y64" s="14" t="n">
        <v>88.36</v>
      </c>
      <c r="Z64" s="14" t="n">
        <v>1.9</v>
      </c>
      <c r="AA64" s="14" t="n">
        <v>0.1</v>
      </c>
      <c r="AB64" s="14" t="n">
        <v>0.03</v>
      </c>
      <c r="AC64" s="14" t="n">
        <v>0.27</v>
      </c>
      <c r="AD64" s="15" t="n">
        <f aca="false">H64*E64/1000</f>
        <v>0.248</v>
      </c>
      <c r="AE64" s="15" t="n">
        <f aca="false">I64*E64/1000</f>
        <v>0.062</v>
      </c>
      <c r="AF64" s="16" t="n">
        <f aca="false">ROUND(S64+T64+U64+V64-W64,2)</f>
        <v>-0.01</v>
      </c>
      <c r="AG64" s="16" t="n">
        <f aca="false">ROUND(X64-W64-Y64,2)</f>
        <v>0</v>
      </c>
    </row>
    <row r="65" customFormat="false" ht="15" hidden="false" customHeight="false" outlineLevel="0" collapsed="false">
      <c r="A65" s="13" t="s">
        <v>217</v>
      </c>
      <c r="B65" s="13" t="s">
        <v>256</v>
      </c>
      <c r="C65" s="13" t="s">
        <v>219</v>
      </c>
      <c r="D65" s="13" t="s">
        <v>250</v>
      </c>
      <c r="E65" s="14" t="n">
        <v>44.15</v>
      </c>
      <c r="F65" s="14" t="n">
        <v>39</v>
      </c>
      <c r="G65" s="14" t="n">
        <v>1.72</v>
      </c>
      <c r="H65" s="14" t="n">
        <v>6</v>
      </c>
      <c r="I65" s="14"/>
      <c r="J65" s="14" t="n">
        <v>67.89</v>
      </c>
      <c r="K65" s="14" t="n">
        <v>150.19</v>
      </c>
      <c r="L65" s="14" t="n">
        <v>1.94</v>
      </c>
      <c r="M65" s="14" t="n">
        <v>11.52</v>
      </c>
      <c r="N65" s="14" t="n">
        <v>3.9</v>
      </c>
      <c r="O65" s="14" t="n">
        <v>0.45</v>
      </c>
      <c r="P65" s="14" t="n">
        <v>1.5</v>
      </c>
      <c r="Q65" s="14"/>
      <c r="R65" s="14" t="n">
        <v>1.1</v>
      </c>
      <c r="S65" s="14" t="n">
        <v>170.6</v>
      </c>
      <c r="T65" s="14" t="n">
        <v>0.9</v>
      </c>
      <c r="U65" s="14" t="n">
        <v>7.74</v>
      </c>
      <c r="V65" s="14" t="n">
        <v>15.46</v>
      </c>
      <c r="W65" s="14" t="n">
        <v>194.69</v>
      </c>
      <c r="X65" s="14" t="n">
        <v>282.19</v>
      </c>
      <c r="Y65" s="14" t="n">
        <v>87.5</v>
      </c>
      <c r="Z65" s="14" t="n">
        <v>1.17</v>
      </c>
      <c r="AA65" s="14" t="n">
        <v>0.11</v>
      </c>
      <c r="AB65" s="14" t="n">
        <v>0</v>
      </c>
      <c r="AC65" s="14" t="n">
        <v>0.23</v>
      </c>
      <c r="AD65" s="15" t="n">
        <f aca="false">H65*E65/1000</f>
        <v>0.2649</v>
      </c>
      <c r="AE65" s="15" t="n">
        <f aca="false">I65*E65/1000</f>
        <v>0</v>
      </c>
      <c r="AF65" s="16" t="n">
        <f aca="false">ROUND(S65+T65+U65+V65-W65,2)</f>
        <v>0.01</v>
      </c>
      <c r="AG65" s="16" t="n">
        <f aca="false">ROUND(X65-W65-Y65,2)</f>
        <v>0</v>
      </c>
    </row>
    <row r="66" customFormat="false" ht="15" hidden="false" customHeight="false" outlineLevel="0" collapsed="false">
      <c r="A66" s="13" t="s">
        <v>217</v>
      </c>
      <c r="B66" s="13" t="s">
        <v>256</v>
      </c>
      <c r="C66" s="13" t="s">
        <v>219</v>
      </c>
      <c r="D66" s="13" t="s">
        <v>251</v>
      </c>
      <c r="E66" s="14" t="n">
        <v>63</v>
      </c>
      <c r="F66" s="14" t="n">
        <v>27</v>
      </c>
      <c r="G66" s="14" t="n">
        <v>1.7</v>
      </c>
      <c r="H66" s="14"/>
      <c r="I66" s="14"/>
      <c r="J66" s="14" t="n">
        <v>66.67</v>
      </c>
      <c r="K66" s="14" t="n">
        <v>150.34</v>
      </c>
      <c r="L66" s="14" t="n">
        <v>1.98</v>
      </c>
      <c r="M66" s="14" t="n">
        <v>12.26</v>
      </c>
      <c r="N66" s="14" t="n">
        <v>3.9</v>
      </c>
      <c r="O66" s="14" t="n">
        <v>0.45</v>
      </c>
      <c r="P66" s="14" t="n">
        <v>1.5</v>
      </c>
      <c r="Q66" s="14"/>
      <c r="R66" s="14" t="n">
        <v>1.1</v>
      </c>
      <c r="S66" s="14" t="n">
        <v>171.53</v>
      </c>
      <c r="T66" s="14" t="n">
        <v>0.9</v>
      </c>
      <c r="U66" s="14" t="n">
        <v>7.74</v>
      </c>
      <c r="V66" s="14" t="n">
        <v>15.61</v>
      </c>
      <c r="W66" s="14" t="n">
        <v>195.79</v>
      </c>
      <c r="X66" s="14" t="n">
        <v>282.19</v>
      </c>
      <c r="Y66" s="14" t="n">
        <v>86.4</v>
      </c>
      <c r="Z66" s="14" t="n">
        <v>1.47</v>
      </c>
      <c r="AA66" s="14" t="n">
        <v>0</v>
      </c>
      <c r="AB66" s="14" t="n">
        <v>0</v>
      </c>
      <c r="AC66" s="14" t="n">
        <v>0</v>
      </c>
      <c r="AD66" s="15" t="n">
        <f aca="false">H66*E66/1000</f>
        <v>0</v>
      </c>
      <c r="AE66" s="15" t="n">
        <f aca="false">I66*E66/1000</f>
        <v>0</v>
      </c>
      <c r="AF66" s="16" t="n">
        <f aca="false">ROUND(S66+T66+U66+V66-W66,2)</f>
        <v>-0.01</v>
      </c>
      <c r="AG66" s="16" t="n">
        <f aca="false">ROUND(X66-W66-Y66,2)</f>
        <v>0</v>
      </c>
    </row>
    <row r="67" customFormat="false" ht="15" hidden="false" customHeight="false" outlineLevel="0" collapsed="false">
      <c r="A67" s="13" t="s">
        <v>217</v>
      </c>
      <c r="B67" s="13" t="s">
        <v>256</v>
      </c>
      <c r="C67" s="13" t="s">
        <v>219</v>
      </c>
      <c r="D67" s="13" t="s">
        <v>252</v>
      </c>
      <c r="E67" s="14" t="n">
        <v>47</v>
      </c>
      <c r="F67" s="14" t="n">
        <v>16</v>
      </c>
      <c r="G67" s="14" t="n">
        <v>0.75</v>
      </c>
      <c r="H67" s="14" t="n">
        <v>1</v>
      </c>
      <c r="I67" s="14"/>
      <c r="J67" s="14" t="n">
        <v>68.2</v>
      </c>
      <c r="K67" s="14" t="n">
        <v>150.15</v>
      </c>
      <c r="L67" s="14" t="n">
        <v>1.94</v>
      </c>
      <c r="M67" s="14" t="n">
        <v>11.42</v>
      </c>
      <c r="N67" s="14" t="n">
        <v>3.9</v>
      </c>
      <c r="O67" s="14" t="n">
        <v>0.45</v>
      </c>
      <c r="P67" s="14" t="n">
        <v>1.5</v>
      </c>
      <c r="Q67" s="14"/>
      <c r="R67" s="14" t="n">
        <v>1.1</v>
      </c>
      <c r="S67" s="14" t="n">
        <v>170.46</v>
      </c>
      <c r="T67" s="14" t="n">
        <v>0.9</v>
      </c>
      <c r="U67" s="14" t="n">
        <v>7.74</v>
      </c>
      <c r="V67" s="14" t="n">
        <v>15.42</v>
      </c>
      <c r="W67" s="14" t="n">
        <v>194.52</v>
      </c>
      <c r="X67" s="14" t="n">
        <v>282.19</v>
      </c>
      <c r="Y67" s="14" t="n">
        <v>87.67</v>
      </c>
      <c r="Z67" s="14" t="n">
        <v>0.6</v>
      </c>
      <c r="AA67" s="14" t="n">
        <v>0.02</v>
      </c>
      <c r="AB67" s="14" t="n">
        <v>0</v>
      </c>
      <c r="AC67" s="14" t="n">
        <v>0.04</v>
      </c>
      <c r="AD67" s="15" t="n">
        <f aca="false">H67*E67/1000</f>
        <v>0.047</v>
      </c>
      <c r="AE67" s="15" t="n">
        <f aca="false">I67*E67/1000</f>
        <v>0</v>
      </c>
      <c r="AF67" s="16" t="n">
        <f aca="false">ROUND(S67+T67+U67+V67-W67,2)</f>
        <v>0</v>
      </c>
      <c r="AG67" s="16" t="n">
        <f aca="false">ROUND(X67-W67-Y67,2)</f>
        <v>0</v>
      </c>
    </row>
    <row r="68" customFormat="false" ht="15" hidden="false" customHeight="false" outlineLevel="0" collapsed="false">
      <c r="A68" s="13" t="s">
        <v>217</v>
      </c>
      <c r="B68" s="13" t="s">
        <v>256</v>
      </c>
      <c r="C68" s="13" t="s">
        <v>219</v>
      </c>
      <c r="D68" s="13" t="s">
        <v>257</v>
      </c>
      <c r="E68" s="14" t="n">
        <v>46.8</v>
      </c>
      <c r="F68" s="14" t="n">
        <v>16</v>
      </c>
      <c r="G68" s="14" t="n">
        <v>0.75</v>
      </c>
      <c r="H68" s="14"/>
      <c r="I68" s="14"/>
      <c r="J68" s="14" t="n">
        <v>67.23</v>
      </c>
      <c r="K68" s="14" t="n">
        <v>150.27</v>
      </c>
      <c r="L68" s="14" t="n">
        <v>1.96</v>
      </c>
      <c r="M68" s="14" t="n">
        <v>12.69</v>
      </c>
      <c r="N68" s="14" t="n">
        <v>3.9</v>
      </c>
      <c r="O68" s="14" t="n">
        <v>0.45</v>
      </c>
      <c r="P68" s="14" t="n">
        <v>1.5</v>
      </c>
      <c r="Q68" s="14"/>
      <c r="R68" s="14" t="n">
        <v>1.1</v>
      </c>
      <c r="S68" s="14" t="n">
        <v>171.88</v>
      </c>
      <c r="T68" s="14" t="n">
        <v>0.9</v>
      </c>
      <c r="U68" s="14" t="n">
        <v>7.74</v>
      </c>
      <c r="V68" s="14" t="n">
        <v>15.54</v>
      </c>
      <c r="W68" s="14" t="n">
        <v>196.06</v>
      </c>
      <c r="X68" s="14" t="n">
        <v>282.19</v>
      </c>
      <c r="Y68" s="14" t="n">
        <v>86.13</v>
      </c>
      <c r="Z68" s="14" t="n">
        <v>0.64</v>
      </c>
      <c r="AA68" s="14" t="n">
        <v>0</v>
      </c>
      <c r="AB68" s="14" t="n">
        <v>0</v>
      </c>
      <c r="AC68" s="14" t="n">
        <v>0</v>
      </c>
      <c r="AD68" s="15" t="n">
        <f aca="false">H68*E68/1000</f>
        <v>0</v>
      </c>
      <c r="AE68" s="15" t="n">
        <f aca="false">I68*E68/1000</f>
        <v>0</v>
      </c>
      <c r="AF68" s="16" t="n">
        <f aca="false">ROUND(S68+T68+U68+V68-W68,2)</f>
        <v>0</v>
      </c>
      <c r="AG68" s="16" t="n">
        <f aca="false">ROUND(X68-W68-Y68,2)</f>
        <v>0</v>
      </c>
    </row>
    <row r="69" customFormat="false" ht="15" hidden="false" customHeight="false" outlineLevel="0" collapsed="false">
      <c r="A69" s="13" t="s">
        <v>217</v>
      </c>
      <c r="B69" s="13" t="s">
        <v>256</v>
      </c>
      <c r="C69" s="13" t="s">
        <v>219</v>
      </c>
      <c r="D69" s="13" t="s">
        <v>258</v>
      </c>
      <c r="E69" s="14" t="n">
        <v>46.8</v>
      </c>
      <c r="F69" s="14" t="n">
        <v>52</v>
      </c>
      <c r="G69" s="14" t="n">
        <v>2.43</v>
      </c>
      <c r="H69" s="14"/>
      <c r="I69" s="14"/>
      <c r="J69" s="14" t="n">
        <v>67.23</v>
      </c>
      <c r="K69" s="14" t="n">
        <v>150.27</v>
      </c>
      <c r="L69" s="14" t="n">
        <v>1.96</v>
      </c>
      <c r="M69" s="14" t="n">
        <v>12.69</v>
      </c>
      <c r="N69" s="14" t="n">
        <v>3.9</v>
      </c>
      <c r="O69" s="14" t="n">
        <v>0.45</v>
      </c>
      <c r="P69" s="14" t="n">
        <v>1.5</v>
      </c>
      <c r="Q69" s="14"/>
      <c r="R69" s="14" t="n">
        <v>1.1</v>
      </c>
      <c r="S69" s="14" t="n">
        <v>171.88</v>
      </c>
      <c r="T69" s="14" t="n">
        <v>0.9</v>
      </c>
      <c r="U69" s="14" t="n">
        <v>7.74</v>
      </c>
      <c r="V69" s="14" t="n">
        <v>15.54</v>
      </c>
      <c r="W69" s="14" t="n">
        <v>196.06</v>
      </c>
      <c r="X69" s="14" t="n">
        <v>282.19</v>
      </c>
      <c r="Y69" s="14" t="n">
        <v>86.13</v>
      </c>
      <c r="Z69" s="14" t="n">
        <v>2.1</v>
      </c>
      <c r="AA69" s="14" t="n">
        <v>0</v>
      </c>
      <c r="AB69" s="14" t="n">
        <v>0</v>
      </c>
      <c r="AC69" s="14" t="n">
        <v>0</v>
      </c>
      <c r="AD69" s="15" t="n">
        <f aca="false">H69*E69/1000</f>
        <v>0</v>
      </c>
      <c r="AE69" s="15" t="n">
        <f aca="false">I69*E69/1000</f>
        <v>0</v>
      </c>
      <c r="AF69" s="16" t="n">
        <f aca="false">ROUND(S69+T69+U69+V69-W69,2)</f>
        <v>0</v>
      </c>
      <c r="AG69" s="16" t="n">
        <f aca="false">ROUND(X69-W69-Y69,2)</f>
        <v>0</v>
      </c>
    </row>
    <row r="70" customFormat="false" ht="15" hidden="false" customHeight="false" outlineLevel="0" collapsed="false">
      <c r="A70" s="13" t="s">
        <v>217</v>
      </c>
      <c r="B70" s="13" t="s">
        <v>256</v>
      </c>
      <c r="C70" s="13" t="s">
        <v>219</v>
      </c>
      <c r="D70" s="13" t="s">
        <v>253</v>
      </c>
      <c r="E70" s="14" t="n">
        <v>32.7</v>
      </c>
      <c r="F70" s="14" t="n">
        <v>171</v>
      </c>
      <c r="G70" s="14" t="n">
        <v>5.59</v>
      </c>
      <c r="H70" s="14" t="n">
        <v>8</v>
      </c>
      <c r="I70" s="14"/>
      <c r="J70" s="14" t="n">
        <v>62.55</v>
      </c>
      <c r="K70" s="14" t="n">
        <v>150.9</v>
      </c>
      <c r="L70" s="14" t="n">
        <v>2.11</v>
      </c>
      <c r="M70" s="14" t="n">
        <v>13.49</v>
      </c>
      <c r="N70" s="14" t="n">
        <v>3.9</v>
      </c>
      <c r="O70" s="14" t="n">
        <v>0.45</v>
      </c>
      <c r="P70" s="14" t="n">
        <v>1.5</v>
      </c>
      <c r="Q70" s="14"/>
      <c r="R70" s="14" t="n">
        <v>1.1</v>
      </c>
      <c r="S70" s="14" t="n">
        <v>173.45</v>
      </c>
      <c r="T70" s="14" t="n">
        <v>0.9</v>
      </c>
      <c r="U70" s="14" t="n">
        <v>7.74</v>
      </c>
      <c r="V70" s="14" t="n">
        <v>16.19</v>
      </c>
      <c r="W70" s="14" t="n">
        <v>198.27</v>
      </c>
      <c r="X70" s="14" t="n">
        <v>282.19</v>
      </c>
      <c r="Y70" s="14" t="n">
        <v>83.92</v>
      </c>
      <c r="Z70" s="14" t="n">
        <v>4.36</v>
      </c>
      <c r="AA70" s="14" t="n">
        <v>0.11</v>
      </c>
      <c r="AB70" s="14" t="n">
        <v>0</v>
      </c>
      <c r="AC70" s="14" t="n">
        <v>0.22</v>
      </c>
      <c r="AD70" s="15" t="n">
        <f aca="false">H70*E70/1000</f>
        <v>0.2616</v>
      </c>
      <c r="AE70" s="15" t="n">
        <f aca="false">I70*E70/1000</f>
        <v>0</v>
      </c>
      <c r="AF70" s="16" t="n">
        <f aca="false">ROUND(S70+T70+U70+V70-W70,2)</f>
        <v>0.01</v>
      </c>
      <c r="AG70" s="16" t="n">
        <f aca="false">ROUND(X70-W70-Y70,2)</f>
        <v>0</v>
      </c>
    </row>
    <row r="71" customFormat="false" ht="15" hidden="false" customHeight="false" outlineLevel="0" collapsed="false">
      <c r="A71" s="13" t="s">
        <v>217</v>
      </c>
      <c r="B71" s="13" t="s">
        <v>256</v>
      </c>
      <c r="C71" s="13" t="s">
        <v>219</v>
      </c>
      <c r="D71" s="13" t="s">
        <v>254</v>
      </c>
      <c r="E71" s="14" t="n">
        <v>29</v>
      </c>
      <c r="F71" s="14" t="n">
        <v>64</v>
      </c>
      <c r="G71" s="14" t="n">
        <v>1.86</v>
      </c>
      <c r="H71" s="14" t="n">
        <v>1</v>
      </c>
      <c r="I71" s="14"/>
      <c r="J71" s="14" t="n">
        <v>63.01</v>
      </c>
      <c r="K71" s="14" t="n">
        <v>150.83</v>
      </c>
      <c r="L71" s="14" t="n">
        <v>2.09</v>
      </c>
      <c r="M71" s="14" t="n">
        <v>16.62</v>
      </c>
      <c r="N71" s="14" t="n">
        <v>3.9</v>
      </c>
      <c r="O71" s="14" t="n">
        <v>0.45</v>
      </c>
      <c r="P71" s="14" t="n">
        <v>1.5</v>
      </c>
      <c r="Q71" s="14"/>
      <c r="R71" s="14" t="n">
        <v>1.1</v>
      </c>
      <c r="S71" s="14" t="n">
        <v>176.5</v>
      </c>
      <c r="T71" s="14" t="n">
        <v>0.9</v>
      </c>
      <c r="U71" s="14" t="n">
        <v>7.74</v>
      </c>
      <c r="V71" s="14" t="n">
        <v>16.12</v>
      </c>
      <c r="W71" s="14" t="n">
        <v>201.26</v>
      </c>
      <c r="X71" s="14" t="n">
        <v>282.19</v>
      </c>
      <c r="Y71" s="14" t="n">
        <v>80.93</v>
      </c>
      <c r="Z71" s="14" t="n">
        <v>1.47</v>
      </c>
      <c r="AA71" s="14" t="n">
        <v>0.01</v>
      </c>
      <c r="AB71" s="14" t="n">
        <v>0</v>
      </c>
      <c r="AC71" s="14" t="n">
        <v>0.02</v>
      </c>
      <c r="AD71" s="15" t="n">
        <f aca="false">H71*E71/1000</f>
        <v>0.029</v>
      </c>
      <c r="AE71" s="15" t="n">
        <f aca="false">I71*E71/1000</f>
        <v>0</v>
      </c>
      <c r="AF71" s="16" t="n">
        <f aca="false">ROUND(S71+T71+U71+V71-W71,2)</f>
        <v>0</v>
      </c>
      <c r="AG71" s="16" t="n">
        <f aca="false">ROUND(X71-W71-Y71,2)</f>
        <v>0</v>
      </c>
    </row>
    <row r="72" customFormat="false" ht="15" hidden="false" customHeight="false" outlineLevel="0" collapsed="false">
      <c r="A72" s="13" t="s">
        <v>217</v>
      </c>
      <c r="B72" s="13" t="s">
        <v>256</v>
      </c>
      <c r="C72" s="13" t="s">
        <v>226</v>
      </c>
      <c r="D72" s="13" t="s">
        <v>248</v>
      </c>
      <c r="E72" s="14" t="n">
        <v>66</v>
      </c>
      <c r="F72" s="14" t="n">
        <v>30</v>
      </c>
      <c r="G72" s="14" t="n">
        <v>1.98</v>
      </c>
      <c r="H72" s="14" t="n">
        <v>32</v>
      </c>
      <c r="I72" s="14"/>
      <c r="J72" s="14" t="n">
        <v>72.22</v>
      </c>
      <c r="K72" s="14" t="n">
        <v>152.48</v>
      </c>
      <c r="L72" s="14" t="n">
        <v>1.83</v>
      </c>
      <c r="M72" s="14" t="n">
        <v>11.51</v>
      </c>
      <c r="N72" s="14" t="n">
        <v>3.9</v>
      </c>
      <c r="O72" s="14" t="n">
        <v>0.45</v>
      </c>
      <c r="P72" s="14" t="n">
        <v>1.5</v>
      </c>
      <c r="Q72" s="14"/>
      <c r="R72" s="14" t="n">
        <v>1.1</v>
      </c>
      <c r="S72" s="14" t="n">
        <v>172.77</v>
      </c>
      <c r="T72" s="14" t="n">
        <v>0.9</v>
      </c>
      <c r="U72" s="14" t="n">
        <v>8.65</v>
      </c>
      <c r="V72" s="14" t="n">
        <v>15.52</v>
      </c>
      <c r="W72" s="14" t="n">
        <v>197.84</v>
      </c>
      <c r="X72" s="14" t="n">
        <v>282.19</v>
      </c>
      <c r="Y72" s="14" t="n">
        <v>84.35</v>
      </c>
      <c r="Z72" s="14" t="n">
        <v>-0.95</v>
      </c>
      <c r="AA72" s="14" t="n">
        <v>0.84</v>
      </c>
      <c r="AB72" s="14" t="n">
        <v>0</v>
      </c>
      <c r="AC72" s="14" t="n">
        <v>1.78</v>
      </c>
      <c r="AD72" s="15" t="n">
        <f aca="false">H72*E72/1000</f>
        <v>2.112</v>
      </c>
      <c r="AE72" s="15" t="n">
        <f aca="false">I72*E72/1000</f>
        <v>0</v>
      </c>
      <c r="AF72" s="16" t="n">
        <f aca="false">ROUND(S72+T72+U72+V72-W72,2)</f>
        <v>0</v>
      </c>
      <c r="AG72" s="16" t="n">
        <f aca="false">ROUND(X72-W72-Y72,2)</f>
        <v>0</v>
      </c>
    </row>
    <row r="73" customFormat="false" ht="15" hidden="false" customHeight="false" outlineLevel="0" collapsed="false">
      <c r="A73" s="13" t="s">
        <v>217</v>
      </c>
      <c r="B73" s="13" t="s">
        <v>256</v>
      </c>
      <c r="C73" s="13" t="s">
        <v>226</v>
      </c>
      <c r="D73" s="13" t="s">
        <v>257</v>
      </c>
      <c r="E73" s="14" t="n">
        <v>46.5</v>
      </c>
      <c r="F73" s="14" t="n">
        <v>88</v>
      </c>
      <c r="G73" s="14" t="n">
        <v>4.09</v>
      </c>
      <c r="H73" s="14"/>
      <c r="I73" s="14"/>
      <c r="J73" s="14" t="n">
        <v>67.23</v>
      </c>
      <c r="K73" s="14" t="n">
        <v>153.08</v>
      </c>
      <c r="L73" s="14" t="n">
        <v>1.96</v>
      </c>
      <c r="M73" s="14" t="n">
        <v>12.76</v>
      </c>
      <c r="N73" s="14" t="n">
        <v>3.9</v>
      </c>
      <c r="O73" s="14" t="n">
        <v>0.45</v>
      </c>
      <c r="P73" s="14" t="n">
        <v>1.5</v>
      </c>
      <c r="Q73" s="14"/>
      <c r="R73" s="14" t="n">
        <v>1.1</v>
      </c>
      <c r="S73" s="14" t="n">
        <v>174.75</v>
      </c>
      <c r="T73" s="14" t="n">
        <v>0.9</v>
      </c>
      <c r="U73" s="14" t="n">
        <v>8.65</v>
      </c>
      <c r="V73" s="14" t="n">
        <v>16.13</v>
      </c>
      <c r="W73" s="14" t="n">
        <v>200.43</v>
      </c>
      <c r="X73" s="14" t="n">
        <v>251.83</v>
      </c>
      <c r="Y73" s="14" t="n">
        <v>51.4</v>
      </c>
      <c r="Z73" s="14" t="n">
        <v>2.1</v>
      </c>
      <c r="AA73" s="14" t="n">
        <v>0</v>
      </c>
      <c r="AB73" s="14" t="n">
        <v>0</v>
      </c>
      <c r="AC73" s="14" t="n">
        <v>0</v>
      </c>
      <c r="AD73" s="15" t="n">
        <f aca="false">H73*E73/1000</f>
        <v>0</v>
      </c>
      <c r="AE73" s="15" t="n">
        <f aca="false">I73*E73/1000</f>
        <v>0</v>
      </c>
      <c r="AF73" s="16" t="n">
        <f aca="false">ROUND(S73+T73+U73+V73-W73,2)</f>
        <v>0</v>
      </c>
      <c r="AG73" s="16" t="n">
        <f aca="false">ROUND(X73-W73-Y73,2)</f>
        <v>0</v>
      </c>
    </row>
    <row r="74" customFormat="false" ht="15" hidden="false" customHeight="false" outlineLevel="0" collapsed="false">
      <c r="A74" s="13" t="s">
        <v>217</v>
      </c>
      <c r="B74" s="13" t="s">
        <v>256</v>
      </c>
      <c r="C74" s="13" t="s">
        <v>226</v>
      </c>
      <c r="D74" s="13" t="s">
        <v>258</v>
      </c>
      <c r="E74" s="14" t="n">
        <v>46.5</v>
      </c>
      <c r="F74" s="14" t="n">
        <v>4</v>
      </c>
      <c r="G74" s="14" t="n">
        <v>0.19</v>
      </c>
      <c r="H74" s="14"/>
      <c r="I74" s="14"/>
      <c r="J74" s="14" t="n">
        <v>67.23</v>
      </c>
      <c r="K74" s="14" t="n">
        <v>153.08</v>
      </c>
      <c r="L74" s="14" t="n">
        <v>1.96</v>
      </c>
      <c r="M74" s="14" t="n">
        <v>12.76</v>
      </c>
      <c r="N74" s="14" t="n">
        <v>3.9</v>
      </c>
      <c r="O74" s="14" t="n">
        <v>0.45</v>
      </c>
      <c r="P74" s="14" t="n">
        <v>1.5</v>
      </c>
      <c r="Q74" s="14"/>
      <c r="R74" s="14" t="n">
        <v>1.1</v>
      </c>
      <c r="S74" s="14" t="n">
        <v>174.75</v>
      </c>
      <c r="T74" s="14" t="n">
        <v>0.9</v>
      </c>
      <c r="U74" s="14" t="n">
        <v>8.65</v>
      </c>
      <c r="V74" s="14" t="n">
        <v>16.13</v>
      </c>
      <c r="W74" s="14" t="n">
        <v>200.43</v>
      </c>
      <c r="X74" s="14" t="n">
        <v>251.83</v>
      </c>
      <c r="Y74" s="14" t="n">
        <v>51.4</v>
      </c>
      <c r="Z74" s="14" t="n">
        <v>0.1</v>
      </c>
      <c r="AA74" s="14" t="n">
        <v>0</v>
      </c>
      <c r="AB74" s="14" t="n">
        <v>0</v>
      </c>
      <c r="AC74" s="14" t="n">
        <v>0</v>
      </c>
      <c r="AD74" s="15" t="n">
        <f aca="false">H74*E74/1000</f>
        <v>0</v>
      </c>
      <c r="AE74" s="15" t="n">
        <f aca="false">I74*E74/1000</f>
        <v>0</v>
      </c>
      <c r="AF74" s="16" t="n">
        <f aca="false">ROUND(S74+T74+U74+V74-W74,2)</f>
        <v>0</v>
      </c>
      <c r="AG74" s="16" t="n">
        <f aca="false">ROUND(X74-W74-Y74,2)</f>
        <v>0</v>
      </c>
    </row>
    <row r="75" customFormat="false" ht="15" hidden="false" customHeight="false" outlineLevel="0" collapsed="false">
      <c r="A75" s="13" t="s">
        <v>217</v>
      </c>
      <c r="B75" s="13" t="s">
        <v>256</v>
      </c>
      <c r="C75" s="13" t="s">
        <v>259</v>
      </c>
      <c r="D75" s="13" t="s">
        <v>230</v>
      </c>
      <c r="E75" s="14" t="n">
        <v>34.5</v>
      </c>
      <c r="F75" s="14" t="n">
        <v>132</v>
      </c>
      <c r="G75" s="14" t="n">
        <v>4.55</v>
      </c>
      <c r="H75" s="14"/>
      <c r="I75" s="14"/>
      <c r="J75" s="14" t="n">
        <v>69.03</v>
      </c>
      <c r="K75" s="14" t="n">
        <v>147.22</v>
      </c>
      <c r="L75" s="14" t="n">
        <v>1.91</v>
      </c>
      <c r="M75" s="14" t="n">
        <v>15.64</v>
      </c>
      <c r="N75" s="14" t="n">
        <v>3.9</v>
      </c>
      <c r="O75" s="14" t="n">
        <v>0.54</v>
      </c>
      <c r="P75" s="14" t="n">
        <v>1.5</v>
      </c>
      <c r="Q75" s="14"/>
      <c r="R75" s="14" t="n">
        <v>1.1</v>
      </c>
      <c r="S75" s="14" t="n">
        <v>171.82</v>
      </c>
      <c r="T75" s="14" t="n">
        <v>0.9</v>
      </c>
      <c r="U75" s="14" t="n">
        <v>8.65</v>
      </c>
      <c r="V75" s="14" t="n">
        <v>16.4</v>
      </c>
      <c r="W75" s="14" t="n">
        <v>197.77</v>
      </c>
      <c r="X75" s="14" t="n">
        <v>240.4</v>
      </c>
      <c r="Y75" s="14" t="n">
        <v>42.63</v>
      </c>
      <c r="Z75" s="14" t="n">
        <v>1.94</v>
      </c>
      <c r="AA75" s="14" t="n">
        <v>0</v>
      </c>
      <c r="AB75" s="14" t="n">
        <v>0</v>
      </c>
      <c r="AC75" s="14" t="n">
        <v>0</v>
      </c>
      <c r="AD75" s="15" t="n">
        <f aca="false">H75*E75/1000</f>
        <v>0</v>
      </c>
      <c r="AE75" s="15" t="n">
        <f aca="false">I75*E75/1000</f>
        <v>0</v>
      </c>
      <c r="AF75" s="16" t="n">
        <f aca="false">ROUND(S75+T75+U75+V75-W75,2)</f>
        <v>0</v>
      </c>
      <c r="AG75" s="16" t="n">
        <f aca="false">ROUND(X75-W75-Y75,2)</f>
        <v>0</v>
      </c>
    </row>
    <row r="76" customFormat="false" ht="15" hidden="false" customHeight="false" outlineLevel="0" collapsed="false">
      <c r="A76" s="13" t="s">
        <v>217</v>
      </c>
      <c r="B76" s="13" t="s">
        <v>256</v>
      </c>
      <c r="C76" s="13" t="s">
        <v>259</v>
      </c>
      <c r="D76" s="13" t="s">
        <v>260</v>
      </c>
      <c r="E76" s="14" t="n">
        <v>22.8</v>
      </c>
      <c r="F76" s="14" t="n">
        <v>6</v>
      </c>
      <c r="G76" s="14" t="n">
        <v>0.14</v>
      </c>
      <c r="H76" s="14"/>
      <c r="I76" s="14"/>
      <c r="J76" s="14" t="n">
        <v>64.48</v>
      </c>
      <c r="K76" s="14" t="n">
        <v>147.79</v>
      </c>
      <c r="L76" s="14" t="n">
        <v>2.05</v>
      </c>
      <c r="M76" s="14" t="n">
        <v>18.16</v>
      </c>
      <c r="N76" s="14" t="n">
        <v>3.9</v>
      </c>
      <c r="O76" s="14" t="n">
        <v>0.45</v>
      </c>
      <c r="P76" s="14" t="n">
        <v>1.5</v>
      </c>
      <c r="Q76" s="14"/>
      <c r="R76" s="14" t="n">
        <v>1.1</v>
      </c>
      <c r="S76" s="14" t="n">
        <v>174.95</v>
      </c>
      <c r="T76" s="14" t="n">
        <v>0.9</v>
      </c>
      <c r="U76" s="14" t="n">
        <v>8.65</v>
      </c>
      <c r="V76" s="14" t="n">
        <v>17.03</v>
      </c>
      <c r="W76" s="14" t="n">
        <v>201.54</v>
      </c>
      <c r="X76" s="14" t="n">
        <v>240.4</v>
      </c>
      <c r="Y76" s="14" t="n">
        <v>38.86</v>
      </c>
      <c r="Z76" s="14" t="n">
        <v>0.05</v>
      </c>
      <c r="AA76" s="14" t="n">
        <v>0</v>
      </c>
      <c r="AB76" s="14" t="n">
        <v>0</v>
      </c>
      <c r="AC76" s="14" t="n">
        <v>0</v>
      </c>
      <c r="AD76" s="15" t="n">
        <f aca="false">H76*E76/1000</f>
        <v>0</v>
      </c>
      <c r="AE76" s="15" t="n">
        <f aca="false">I76*E76/1000</f>
        <v>0</v>
      </c>
      <c r="AF76" s="16" t="n">
        <f aca="false">ROUND(S76+T76+U76+V76-W76,2)</f>
        <v>-0.01</v>
      </c>
      <c r="AG76" s="16" t="n">
        <f aca="false">ROUND(X76-W76-Y76,2)</f>
        <v>0</v>
      </c>
    </row>
    <row r="77" customFormat="false" ht="15" hidden="false" customHeight="false" outlineLevel="0" collapsed="false">
      <c r="A77" s="13" t="s">
        <v>217</v>
      </c>
      <c r="B77" s="13" t="s">
        <v>256</v>
      </c>
      <c r="C77" s="13" t="s">
        <v>259</v>
      </c>
      <c r="D77" s="13" t="s">
        <v>231</v>
      </c>
      <c r="E77" s="14" t="n">
        <v>26.17</v>
      </c>
      <c r="F77" s="14" t="n">
        <v>18</v>
      </c>
      <c r="G77" s="14" t="n">
        <v>0.47</v>
      </c>
      <c r="H77" s="14"/>
      <c r="I77" s="14"/>
      <c r="J77" s="14" t="n">
        <v>65.78</v>
      </c>
      <c r="K77" s="14" t="n">
        <v>147.62</v>
      </c>
      <c r="L77" s="14" t="n">
        <v>2.01</v>
      </c>
      <c r="M77" s="14" t="n">
        <v>18.24</v>
      </c>
      <c r="N77" s="14" t="n">
        <v>3.9</v>
      </c>
      <c r="O77" s="14" t="n">
        <v>0.45</v>
      </c>
      <c r="P77" s="14" t="n">
        <v>1.5</v>
      </c>
      <c r="Q77" s="14"/>
      <c r="R77" s="14" t="n">
        <v>1.1</v>
      </c>
      <c r="S77" s="14" t="n">
        <v>174.81</v>
      </c>
      <c r="T77" s="14" t="n">
        <v>0.9</v>
      </c>
      <c r="U77" s="14" t="n">
        <v>8.65</v>
      </c>
      <c r="V77" s="14" t="n">
        <v>16.84</v>
      </c>
      <c r="W77" s="14" t="n">
        <v>201.21</v>
      </c>
      <c r="X77" s="14" t="n">
        <v>240.4</v>
      </c>
      <c r="Y77" s="14" t="n">
        <v>39.19</v>
      </c>
      <c r="Z77" s="14" t="n">
        <v>0.18</v>
      </c>
      <c r="AA77" s="14" t="n">
        <v>0</v>
      </c>
      <c r="AB77" s="14" t="n">
        <v>0</v>
      </c>
      <c r="AC77" s="14" t="n">
        <v>0</v>
      </c>
      <c r="AD77" s="15" t="n">
        <f aca="false">H77*E77/1000</f>
        <v>0</v>
      </c>
      <c r="AE77" s="15" t="n">
        <f aca="false">I77*E77/1000</f>
        <v>0</v>
      </c>
      <c r="AF77" s="16" t="n">
        <f aca="false">ROUND(S77+T77+U77+V77-W77,2)</f>
        <v>-0.01</v>
      </c>
      <c r="AG77" s="16" t="n">
        <f aca="false">ROUND(X77-W77-Y77,2)</f>
        <v>0</v>
      </c>
    </row>
    <row r="78" customFormat="false" ht="15" hidden="false" customHeight="false" outlineLevel="0" collapsed="false">
      <c r="A78" s="13" t="s">
        <v>217</v>
      </c>
      <c r="B78" s="13" t="s">
        <v>256</v>
      </c>
      <c r="C78" s="13" t="s">
        <v>259</v>
      </c>
      <c r="D78" s="13" t="s">
        <v>232</v>
      </c>
      <c r="E78" s="14" t="n">
        <v>50.15</v>
      </c>
      <c r="F78" s="14" t="n">
        <v>47</v>
      </c>
      <c r="G78" s="14" t="n">
        <v>2.36</v>
      </c>
      <c r="H78" s="14"/>
      <c r="I78" s="14" t="n">
        <v>1</v>
      </c>
      <c r="J78" s="14" t="n">
        <v>70.44</v>
      </c>
      <c r="K78" s="14" t="n">
        <v>147.06</v>
      </c>
      <c r="L78" s="14" t="n">
        <v>1.87</v>
      </c>
      <c r="M78" s="14" t="n">
        <v>16.43</v>
      </c>
      <c r="N78" s="14" t="n">
        <v>3.9</v>
      </c>
      <c r="O78" s="14" t="n">
        <v>0.45</v>
      </c>
      <c r="P78" s="14" t="n">
        <v>1.5</v>
      </c>
      <c r="Q78" s="14"/>
      <c r="R78" s="14" t="n">
        <v>1.1</v>
      </c>
      <c r="S78" s="14" t="n">
        <v>172.32</v>
      </c>
      <c r="T78" s="14" t="n">
        <v>0.9</v>
      </c>
      <c r="U78" s="14" t="n">
        <v>8.65</v>
      </c>
      <c r="V78" s="14" t="n">
        <v>16.23</v>
      </c>
      <c r="W78" s="14" t="n">
        <v>198.09</v>
      </c>
      <c r="X78" s="14" t="n">
        <v>240.4</v>
      </c>
      <c r="Y78" s="14" t="n">
        <v>42.31</v>
      </c>
      <c r="Z78" s="14" t="n">
        <v>0.95</v>
      </c>
      <c r="AA78" s="14" t="n">
        <v>0</v>
      </c>
      <c r="AB78" s="14" t="n">
        <v>0.03</v>
      </c>
      <c r="AC78" s="14" t="n">
        <v>0.02</v>
      </c>
      <c r="AD78" s="15" t="n">
        <f aca="false">H78*E78/1000</f>
        <v>0</v>
      </c>
      <c r="AE78" s="15" t="n">
        <f aca="false">I78*E78/1000</f>
        <v>0.05015</v>
      </c>
      <c r="AF78" s="16" t="n">
        <f aca="false">ROUND(S78+T78+U78+V78-W78,2)</f>
        <v>0.01</v>
      </c>
      <c r="AG78" s="16" t="n">
        <f aca="false">ROUND(X78-W78-Y78,2)</f>
        <v>0</v>
      </c>
    </row>
    <row r="79" customFormat="false" ht="15" hidden="false" customHeight="false" outlineLevel="0" collapsed="false">
      <c r="A79" s="13" t="s">
        <v>217</v>
      </c>
      <c r="B79" s="13" t="s">
        <v>256</v>
      </c>
      <c r="C79" s="13" t="s">
        <v>259</v>
      </c>
      <c r="D79" s="13" t="s">
        <v>244</v>
      </c>
      <c r="E79" s="14" t="n">
        <v>37.5</v>
      </c>
      <c r="F79" s="14" t="n">
        <v>103</v>
      </c>
      <c r="G79" s="14" t="n">
        <v>3.86</v>
      </c>
      <c r="H79" s="14" t="n">
        <v>12</v>
      </c>
      <c r="I79" s="14"/>
      <c r="J79" s="14" t="n">
        <v>63.73</v>
      </c>
      <c r="K79" s="14" t="n">
        <v>147.89</v>
      </c>
      <c r="L79" s="14" t="n">
        <v>2.07</v>
      </c>
      <c r="M79" s="14" t="n">
        <v>14.34</v>
      </c>
      <c r="N79" s="14" t="n">
        <v>3.9</v>
      </c>
      <c r="O79" s="14" t="n">
        <v>0.45</v>
      </c>
      <c r="P79" s="14" t="n">
        <v>1.5</v>
      </c>
      <c r="Q79" s="14"/>
      <c r="R79" s="14" t="n">
        <v>1.1</v>
      </c>
      <c r="S79" s="14" t="n">
        <v>171.25</v>
      </c>
      <c r="T79" s="14" t="n">
        <v>0.9</v>
      </c>
      <c r="U79" s="14" t="n">
        <v>8.65</v>
      </c>
      <c r="V79" s="14" t="n">
        <v>17.15</v>
      </c>
      <c r="W79" s="14" t="n">
        <v>197.95</v>
      </c>
      <c r="X79" s="14" t="n">
        <v>240.4</v>
      </c>
      <c r="Y79" s="14" t="n">
        <v>42.45</v>
      </c>
      <c r="Z79" s="14" t="n">
        <v>1.25</v>
      </c>
      <c r="AA79" s="14" t="n">
        <v>0.2</v>
      </c>
      <c r="AB79" s="14" t="n">
        <v>0</v>
      </c>
      <c r="AC79" s="14" t="n">
        <v>0.19</v>
      </c>
      <c r="AD79" s="15" t="n">
        <f aca="false">H79*E79/1000</f>
        <v>0.45</v>
      </c>
      <c r="AE79" s="15" t="n">
        <f aca="false">I79*E79/1000</f>
        <v>0</v>
      </c>
      <c r="AF79" s="16" t="n">
        <f aca="false">ROUND(S79+T79+U79+V79-W79,2)</f>
        <v>0</v>
      </c>
      <c r="AG79" s="16" t="n">
        <f aca="false">ROUND(X79-W79-Y79,2)</f>
        <v>0</v>
      </c>
    </row>
    <row r="80" customFormat="false" ht="15" hidden="false" customHeight="false" outlineLevel="0" collapsed="false">
      <c r="A80" s="13" t="s">
        <v>217</v>
      </c>
      <c r="B80" s="13" t="s">
        <v>256</v>
      </c>
      <c r="C80" s="13" t="s">
        <v>259</v>
      </c>
      <c r="D80" s="13" t="s">
        <v>236</v>
      </c>
      <c r="E80" s="14" t="n">
        <v>31.66</v>
      </c>
      <c r="F80" s="14" t="n">
        <v>134</v>
      </c>
      <c r="G80" s="14" t="n">
        <v>4.24</v>
      </c>
      <c r="H80" s="14" t="n">
        <v>3</v>
      </c>
      <c r="I80" s="14"/>
      <c r="J80" s="14" t="n">
        <v>61.09</v>
      </c>
      <c r="K80" s="14" t="n">
        <v>148.27</v>
      </c>
      <c r="L80" s="14" t="n">
        <v>2.16</v>
      </c>
      <c r="M80" s="14" t="n">
        <v>18</v>
      </c>
      <c r="N80" s="14" t="n">
        <v>3.9</v>
      </c>
      <c r="O80" s="14" t="n">
        <v>0.45</v>
      </c>
      <c r="P80" s="14" t="n">
        <v>1.5</v>
      </c>
      <c r="Q80" s="14"/>
      <c r="R80" s="14" t="n">
        <v>1.1</v>
      </c>
      <c r="S80" s="14" t="n">
        <v>175.38</v>
      </c>
      <c r="T80" s="14" t="n">
        <v>0.9</v>
      </c>
      <c r="U80" s="14" t="n">
        <v>8.65</v>
      </c>
      <c r="V80" s="14" t="n">
        <v>17.57</v>
      </c>
      <c r="W80" s="14" t="n">
        <v>202.5</v>
      </c>
      <c r="X80" s="14" t="n">
        <v>240.53</v>
      </c>
      <c r="Y80" s="14" t="n">
        <v>38.03</v>
      </c>
      <c r="Z80" s="14" t="n">
        <v>1.53</v>
      </c>
      <c r="AA80" s="14" t="n">
        <v>0.05</v>
      </c>
      <c r="AB80" s="14" t="n">
        <v>0</v>
      </c>
      <c r="AC80" s="14" t="n">
        <v>0.04</v>
      </c>
      <c r="AD80" s="15" t="n">
        <f aca="false">H80*E80/1000</f>
        <v>0.09498</v>
      </c>
      <c r="AE80" s="15" t="n">
        <f aca="false">I80*E80/1000</f>
        <v>0</v>
      </c>
      <c r="AF80" s="16" t="n">
        <f aca="false">ROUND(S80+T80+U80+V80-W80,2)</f>
        <v>0</v>
      </c>
      <c r="AG80" s="16" t="n">
        <f aca="false">ROUND(X80-W80-Y80,2)</f>
        <v>0</v>
      </c>
    </row>
    <row r="81" customFormat="false" ht="15" hidden="false" customHeight="false" outlineLevel="0" collapsed="false">
      <c r="A81" s="13" t="s">
        <v>217</v>
      </c>
      <c r="B81" s="13" t="s">
        <v>256</v>
      </c>
      <c r="C81" s="13" t="s">
        <v>259</v>
      </c>
      <c r="D81" s="13" t="s">
        <v>261</v>
      </c>
      <c r="E81" s="14" t="n">
        <v>21.6</v>
      </c>
      <c r="F81" s="14" t="n">
        <v>30</v>
      </c>
      <c r="G81" s="14" t="n">
        <v>0.65</v>
      </c>
      <c r="H81" s="14"/>
      <c r="I81" s="14"/>
      <c r="J81" s="14" t="n">
        <v>61.98</v>
      </c>
      <c r="K81" s="14" t="n">
        <v>148.14</v>
      </c>
      <c r="L81" s="14" t="n">
        <v>2.13</v>
      </c>
      <c r="M81" s="14" t="n">
        <v>19.49</v>
      </c>
      <c r="N81" s="14" t="n">
        <v>3.9</v>
      </c>
      <c r="O81" s="14" t="n">
        <v>0.45</v>
      </c>
      <c r="P81" s="14" t="n">
        <v>1.5</v>
      </c>
      <c r="Q81" s="14"/>
      <c r="R81" s="14" t="n">
        <v>1.1</v>
      </c>
      <c r="S81" s="14" t="n">
        <v>176.71</v>
      </c>
      <c r="T81" s="14" t="n">
        <v>0.9</v>
      </c>
      <c r="U81" s="14" t="n">
        <v>8.65</v>
      </c>
      <c r="V81" s="14" t="n">
        <v>17.42</v>
      </c>
      <c r="W81" s="14" t="n">
        <v>203.68</v>
      </c>
      <c r="X81" s="14" t="n">
        <v>240.4</v>
      </c>
      <c r="Y81" s="14" t="n">
        <v>36.72</v>
      </c>
      <c r="Z81" s="14" t="n">
        <v>0.24</v>
      </c>
      <c r="AA81" s="14" t="n">
        <v>0</v>
      </c>
      <c r="AB81" s="14" t="n">
        <v>0</v>
      </c>
      <c r="AC81" s="14" t="n">
        <v>0</v>
      </c>
      <c r="AD81" s="15" t="n">
        <f aca="false">H81*E81/1000</f>
        <v>0</v>
      </c>
      <c r="AE81" s="15" t="n">
        <f aca="false">I81*E81/1000</f>
        <v>0</v>
      </c>
      <c r="AF81" s="16" t="n">
        <f aca="false">ROUND(S81+T81+U81+V81-W81,2)</f>
        <v>0</v>
      </c>
      <c r="AG81" s="16" t="n">
        <f aca="false">ROUND(X81-W81-Y81,2)</f>
        <v>0</v>
      </c>
    </row>
    <row r="82" customFormat="false" ht="15" hidden="false" customHeight="false" outlineLevel="0" collapsed="false">
      <c r="A82" s="13" t="s">
        <v>217</v>
      </c>
      <c r="B82" s="13" t="s">
        <v>256</v>
      </c>
      <c r="C82" s="13" t="s">
        <v>259</v>
      </c>
      <c r="D82" s="13" t="s">
        <v>262</v>
      </c>
      <c r="E82" s="14" t="n">
        <v>47.33</v>
      </c>
      <c r="F82" s="14" t="n">
        <v>3</v>
      </c>
      <c r="G82" s="14" t="n">
        <v>0.14</v>
      </c>
      <c r="H82" s="14"/>
      <c r="I82" s="14"/>
      <c r="J82" s="14" t="n">
        <v>67.25</v>
      </c>
      <c r="K82" s="14" t="n">
        <v>147.44</v>
      </c>
      <c r="L82" s="14" t="n">
        <v>1.96</v>
      </c>
      <c r="M82" s="14" t="n">
        <v>15.76</v>
      </c>
      <c r="N82" s="14" t="n">
        <v>3.9</v>
      </c>
      <c r="O82" s="14" t="n">
        <v>0.45</v>
      </c>
      <c r="P82" s="14" t="n">
        <v>1.5</v>
      </c>
      <c r="Q82" s="14"/>
      <c r="R82" s="14" t="n">
        <v>1.1</v>
      </c>
      <c r="S82" s="14" t="n">
        <v>172.11</v>
      </c>
      <c r="T82" s="14" t="n">
        <v>0.9</v>
      </c>
      <c r="U82" s="14" t="n">
        <v>8.65</v>
      </c>
      <c r="V82" s="14" t="n">
        <v>16.64</v>
      </c>
      <c r="W82" s="14" t="n">
        <v>198.3</v>
      </c>
      <c r="X82" s="14" t="n">
        <v>240.4</v>
      </c>
      <c r="Y82" s="14" t="n">
        <v>42.1</v>
      </c>
      <c r="Z82" s="14" t="n">
        <v>0.06</v>
      </c>
      <c r="AA82" s="14" t="n">
        <v>0</v>
      </c>
      <c r="AB82" s="14" t="n">
        <v>0</v>
      </c>
      <c r="AC82" s="14" t="n">
        <v>0</v>
      </c>
      <c r="AD82" s="15" t="n">
        <f aca="false">H82*E82/1000</f>
        <v>0</v>
      </c>
      <c r="AE82" s="15" t="n">
        <f aca="false">I82*E82/1000</f>
        <v>0</v>
      </c>
      <c r="AF82" s="16" t="n">
        <f aca="false">ROUND(S82+T82+U82+V82-W82,2)</f>
        <v>0</v>
      </c>
      <c r="AG82" s="16" t="n">
        <f aca="false">ROUND(X82-W82-Y82,2)</f>
        <v>0</v>
      </c>
    </row>
    <row r="83" customFormat="false" ht="15" hidden="false" customHeight="false" outlineLevel="0" collapsed="false">
      <c r="A83" s="13" t="s">
        <v>217</v>
      </c>
      <c r="B83" s="13" t="s">
        <v>256</v>
      </c>
      <c r="C83" s="13" t="s">
        <v>259</v>
      </c>
      <c r="D83" s="13" t="s">
        <v>255</v>
      </c>
      <c r="E83" s="14" t="n">
        <v>95</v>
      </c>
      <c r="F83" s="14" t="n">
        <v>3</v>
      </c>
      <c r="G83" s="14" t="n">
        <v>0.29</v>
      </c>
      <c r="H83" s="14"/>
      <c r="I83" s="14"/>
      <c r="J83" s="14" t="n">
        <v>73.53</v>
      </c>
      <c r="K83" s="14" t="n">
        <v>66.7</v>
      </c>
      <c r="L83" s="14" t="n">
        <v>1.8</v>
      </c>
      <c r="M83" s="14" t="n">
        <v>17.63</v>
      </c>
      <c r="N83" s="14" t="n">
        <v>3.9</v>
      </c>
      <c r="O83" s="14" t="n">
        <v>0.45</v>
      </c>
      <c r="P83" s="14" t="n">
        <v>1.5</v>
      </c>
      <c r="Q83" s="14"/>
      <c r="R83" s="14" t="n">
        <v>1.1</v>
      </c>
      <c r="S83" s="14" t="n">
        <v>93.07</v>
      </c>
      <c r="T83" s="14" t="n">
        <v>0.9</v>
      </c>
      <c r="U83" s="14" t="n">
        <v>8.65</v>
      </c>
      <c r="V83" s="14" t="n">
        <v>15.86</v>
      </c>
      <c r="W83" s="14" t="n">
        <v>118.48</v>
      </c>
      <c r="X83" s="14" t="n">
        <v>155</v>
      </c>
      <c r="Y83" s="14" t="n">
        <v>36.52</v>
      </c>
      <c r="Z83" s="14" t="n">
        <v>0.1</v>
      </c>
      <c r="AA83" s="14" t="n">
        <v>0</v>
      </c>
      <c r="AB83" s="14" t="n">
        <v>0</v>
      </c>
      <c r="AC83" s="14" t="n">
        <v>0</v>
      </c>
      <c r="AD83" s="15" t="n">
        <f aca="false">H83*E83/1000</f>
        <v>0</v>
      </c>
      <c r="AE83" s="15" t="n">
        <f aca="false">I83*E83/1000</f>
        <v>0</v>
      </c>
      <c r="AF83" s="16" t="n">
        <f aca="false">ROUND(S83+T83+U83+V83-W83,2)</f>
        <v>0</v>
      </c>
      <c r="AG83" s="16" t="n">
        <f aca="false">ROUND(X83-W83-Y83,2)</f>
        <v>0</v>
      </c>
    </row>
    <row r="84" customFormat="false" ht="15" hidden="false" customHeight="false" outlineLevel="0" collapsed="false">
      <c r="A84" s="13" t="s">
        <v>217</v>
      </c>
      <c r="B84" s="13" t="s">
        <v>256</v>
      </c>
      <c r="C84" s="13" t="s">
        <v>263</v>
      </c>
      <c r="D84" s="13" t="s">
        <v>230</v>
      </c>
      <c r="E84" s="14" t="n">
        <v>34.5</v>
      </c>
      <c r="F84" s="14" t="n">
        <v>692</v>
      </c>
      <c r="G84" s="14" t="n">
        <v>23.87</v>
      </c>
      <c r="H84" s="14" t="n">
        <v>14</v>
      </c>
      <c r="I84" s="14" t="n">
        <v>1</v>
      </c>
      <c r="J84" s="14" t="n">
        <v>69.03</v>
      </c>
      <c r="K84" s="14" t="n">
        <v>134.91</v>
      </c>
      <c r="L84" s="14" t="n">
        <v>1.91</v>
      </c>
      <c r="M84" s="14" t="n">
        <v>14.04</v>
      </c>
      <c r="N84" s="14" t="n">
        <v>3.9</v>
      </c>
      <c r="O84" s="14" t="n">
        <v>0.54</v>
      </c>
      <c r="P84" s="14" t="n">
        <v>1.5</v>
      </c>
      <c r="Q84" s="14"/>
      <c r="R84" s="14" t="n">
        <v>1.1</v>
      </c>
      <c r="S84" s="14" t="n">
        <v>157.9</v>
      </c>
      <c r="T84" s="14" t="n">
        <v>0.9</v>
      </c>
      <c r="U84" s="14" t="n">
        <v>8.65</v>
      </c>
      <c r="V84" s="14" t="n">
        <v>16.4</v>
      </c>
      <c r="W84" s="14" t="n">
        <v>183.86</v>
      </c>
      <c r="X84" s="14" t="n">
        <v>240.4</v>
      </c>
      <c r="Y84" s="14" t="n">
        <v>56.54</v>
      </c>
      <c r="Z84" s="14" t="n">
        <v>12.98</v>
      </c>
      <c r="AA84" s="14" t="n">
        <v>0.21</v>
      </c>
      <c r="AB84" s="14" t="n">
        <v>0.02</v>
      </c>
      <c r="AC84" s="14" t="n">
        <v>0.29</v>
      </c>
      <c r="AD84" s="15" t="n">
        <f aca="false">H84*E84/1000</f>
        <v>0.483</v>
      </c>
      <c r="AE84" s="15" t="n">
        <f aca="false">I84*E84/1000</f>
        <v>0.0345</v>
      </c>
      <c r="AF84" s="16" t="n">
        <f aca="false">ROUND(S84+T84+U84+V84-W84,2)</f>
        <v>-0.01</v>
      </c>
      <c r="AG84" s="16" t="n">
        <f aca="false">ROUND(X84-W84-Y84,2)</f>
        <v>0</v>
      </c>
    </row>
    <row r="85" customFormat="false" ht="15" hidden="false" customHeight="false" outlineLevel="0" collapsed="false">
      <c r="A85" s="13" t="s">
        <v>217</v>
      </c>
      <c r="B85" s="13" t="s">
        <v>256</v>
      </c>
      <c r="C85" s="13" t="s">
        <v>263</v>
      </c>
      <c r="D85" s="13" t="s">
        <v>260</v>
      </c>
      <c r="E85" s="14" t="n">
        <v>22.8</v>
      </c>
      <c r="F85" s="14" t="n">
        <v>174</v>
      </c>
      <c r="G85" s="14" t="n">
        <v>3.97</v>
      </c>
      <c r="H85" s="14" t="n">
        <v>2</v>
      </c>
      <c r="I85" s="14"/>
      <c r="J85" s="14" t="n">
        <v>64.48</v>
      </c>
      <c r="K85" s="14" t="n">
        <v>135.43</v>
      </c>
      <c r="L85" s="14" t="n">
        <v>2.05</v>
      </c>
      <c r="M85" s="14" t="n">
        <v>16.22</v>
      </c>
      <c r="N85" s="14" t="n">
        <v>3.9</v>
      </c>
      <c r="O85" s="14" t="n">
        <v>0.54</v>
      </c>
      <c r="P85" s="14" t="n">
        <v>1.5</v>
      </c>
      <c r="Q85" s="14"/>
      <c r="R85" s="14" t="n">
        <v>1.1</v>
      </c>
      <c r="S85" s="14" t="n">
        <v>160.74</v>
      </c>
      <c r="T85" s="14" t="n">
        <v>0.9</v>
      </c>
      <c r="U85" s="14" t="n">
        <v>8.65</v>
      </c>
      <c r="V85" s="14" t="n">
        <v>17.03</v>
      </c>
      <c r="W85" s="14" t="n">
        <v>187.32</v>
      </c>
      <c r="X85" s="14" t="n">
        <v>240.4</v>
      </c>
      <c r="Y85" s="14" t="n">
        <v>53.08</v>
      </c>
      <c r="Z85" s="14" t="n">
        <v>2.06</v>
      </c>
      <c r="AA85" s="14" t="n">
        <v>0.02</v>
      </c>
      <c r="AB85" s="14" t="n">
        <v>0</v>
      </c>
      <c r="AC85" s="14" t="n">
        <v>0.02</v>
      </c>
      <c r="AD85" s="15" t="n">
        <f aca="false">H85*E85/1000</f>
        <v>0.0456</v>
      </c>
      <c r="AE85" s="15" t="n">
        <f aca="false">I85*E85/1000</f>
        <v>0</v>
      </c>
      <c r="AF85" s="16" t="n">
        <f aca="false">ROUND(S85+T85+U85+V85-W85,2)</f>
        <v>0</v>
      </c>
      <c r="AG85" s="16" t="n">
        <f aca="false">ROUND(X85-W85-Y85,2)</f>
        <v>0</v>
      </c>
    </row>
    <row r="86" customFormat="false" ht="15" hidden="false" customHeight="false" outlineLevel="0" collapsed="false">
      <c r="A86" s="13" t="s">
        <v>217</v>
      </c>
      <c r="B86" s="13" t="s">
        <v>256</v>
      </c>
      <c r="C86" s="13" t="s">
        <v>263</v>
      </c>
      <c r="D86" s="13" t="s">
        <v>231</v>
      </c>
      <c r="E86" s="14" t="n">
        <v>26.17</v>
      </c>
      <c r="F86" s="14" t="n">
        <v>722</v>
      </c>
      <c r="G86" s="14" t="n">
        <v>18.89</v>
      </c>
      <c r="H86" s="14" t="n">
        <v>24</v>
      </c>
      <c r="I86" s="14" t="n">
        <v>2</v>
      </c>
      <c r="J86" s="14" t="n">
        <v>65.78</v>
      </c>
      <c r="K86" s="14" t="n">
        <v>135.27</v>
      </c>
      <c r="L86" s="14" t="n">
        <v>2.01</v>
      </c>
      <c r="M86" s="14" t="n">
        <v>16.42</v>
      </c>
      <c r="N86" s="14" t="n">
        <v>3.9</v>
      </c>
      <c r="O86" s="14" t="n">
        <v>0.54</v>
      </c>
      <c r="P86" s="14" t="n">
        <v>1.5</v>
      </c>
      <c r="Q86" s="14"/>
      <c r="R86" s="14" t="n">
        <v>1.1</v>
      </c>
      <c r="S86" s="14" t="n">
        <v>160.74</v>
      </c>
      <c r="T86" s="14" t="n">
        <v>0.9</v>
      </c>
      <c r="U86" s="14" t="n">
        <v>8.65</v>
      </c>
      <c r="V86" s="14" t="n">
        <v>16.84</v>
      </c>
      <c r="W86" s="14" t="n">
        <v>187.13</v>
      </c>
      <c r="X86" s="14" t="n">
        <v>240.4</v>
      </c>
      <c r="Y86" s="14" t="n">
        <v>53.27</v>
      </c>
      <c r="Z86" s="14" t="n">
        <v>9.38</v>
      </c>
      <c r="AA86" s="14" t="n">
        <v>0.29</v>
      </c>
      <c r="AB86" s="14" t="n">
        <v>0.03</v>
      </c>
      <c r="AC86" s="14" t="n">
        <v>0.36</v>
      </c>
      <c r="AD86" s="15" t="n">
        <f aca="false">H86*E86/1000</f>
        <v>0.62808</v>
      </c>
      <c r="AE86" s="15" t="n">
        <f aca="false">I86*E86/1000</f>
        <v>0.05234</v>
      </c>
      <c r="AF86" s="16" t="n">
        <f aca="false">ROUND(S86+T86+U86+V86-W86,2)</f>
        <v>0</v>
      </c>
      <c r="AG86" s="16" t="n">
        <f aca="false">ROUND(X86-W86-Y86,2)</f>
        <v>0</v>
      </c>
    </row>
    <row r="87" customFormat="false" ht="15" hidden="false" customHeight="false" outlineLevel="0" collapsed="false">
      <c r="A87" s="13" t="s">
        <v>217</v>
      </c>
      <c r="B87" s="13" t="s">
        <v>256</v>
      </c>
      <c r="C87" s="13" t="s">
        <v>263</v>
      </c>
      <c r="D87" s="13" t="s">
        <v>244</v>
      </c>
      <c r="E87" s="14" t="n">
        <v>37.5</v>
      </c>
      <c r="F87" s="14" t="n">
        <v>56</v>
      </c>
      <c r="G87" s="14" t="n">
        <v>2.1</v>
      </c>
      <c r="H87" s="14" t="n">
        <v>2</v>
      </c>
      <c r="I87" s="14" t="n">
        <v>1</v>
      </c>
      <c r="J87" s="14" t="n">
        <v>63.73</v>
      </c>
      <c r="K87" s="14" t="n">
        <v>135.52</v>
      </c>
      <c r="L87" s="14" t="n">
        <v>2.07</v>
      </c>
      <c r="M87" s="14" t="n">
        <v>12.91</v>
      </c>
      <c r="N87" s="14" t="n">
        <v>3.9</v>
      </c>
      <c r="O87" s="14" t="n">
        <v>0.54</v>
      </c>
      <c r="P87" s="14" t="n">
        <v>1.5</v>
      </c>
      <c r="Q87" s="14"/>
      <c r="R87" s="14" t="n">
        <v>1.1</v>
      </c>
      <c r="S87" s="14" t="n">
        <v>157.54</v>
      </c>
      <c r="T87" s="14" t="n">
        <v>0.9</v>
      </c>
      <c r="U87" s="14" t="n">
        <v>8.65</v>
      </c>
      <c r="V87" s="14" t="n">
        <v>17.15</v>
      </c>
      <c r="W87" s="14" t="n">
        <v>184.24</v>
      </c>
      <c r="X87" s="14" t="n">
        <v>240.4</v>
      </c>
      <c r="Y87" s="14" t="n">
        <v>56.16</v>
      </c>
      <c r="Z87" s="14" t="n">
        <v>1.06</v>
      </c>
      <c r="AA87" s="14" t="n">
        <v>0.03</v>
      </c>
      <c r="AB87" s="14" t="n">
        <v>0.02</v>
      </c>
      <c r="AC87" s="14" t="n">
        <v>0.06</v>
      </c>
      <c r="AD87" s="15" t="n">
        <f aca="false">H87*E87/1000</f>
        <v>0.075</v>
      </c>
      <c r="AE87" s="15" t="n">
        <f aca="false">I87*E87/1000</f>
        <v>0.0375</v>
      </c>
      <c r="AF87" s="16" t="n">
        <f aca="false">ROUND(S87+T87+U87+V87-W87,2)</f>
        <v>0</v>
      </c>
      <c r="AG87" s="16" t="n">
        <f aca="false">ROUND(X87-W87-Y87,2)</f>
        <v>0</v>
      </c>
    </row>
    <row r="88" customFormat="false" ht="15" hidden="false" customHeight="false" outlineLevel="0" collapsed="false">
      <c r="A88" s="13" t="s">
        <v>217</v>
      </c>
      <c r="B88" s="13" t="s">
        <v>256</v>
      </c>
      <c r="C88" s="13" t="s">
        <v>263</v>
      </c>
      <c r="D88" s="13" t="s">
        <v>236</v>
      </c>
      <c r="E88" s="14" t="n">
        <v>31.66</v>
      </c>
      <c r="F88" s="14" t="n">
        <v>160</v>
      </c>
      <c r="G88" s="14" t="n">
        <v>5.07</v>
      </c>
      <c r="H88" s="14" t="n">
        <v>4</v>
      </c>
      <c r="I88" s="14" t="n">
        <v>2</v>
      </c>
      <c r="J88" s="14" t="n">
        <v>61.09</v>
      </c>
      <c r="K88" s="14" t="n">
        <v>135.87</v>
      </c>
      <c r="L88" s="14" t="n">
        <v>2.16</v>
      </c>
      <c r="M88" s="14" t="n">
        <v>16.17</v>
      </c>
      <c r="N88" s="14" t="n">
        <v>3.9</v>
      </c>
      <c r="O88" s="14" t="n">
        <v>0.54</v>
      </c>
      <c r="P88" s="14" t="n">
        <v>1.5</v>
      </c>
      <c r="Q88" s="14"/>
      <c r="R88" s="14" t="n">
        <v>1.1</v>
      </c>
      <c r="S88" s="14" t="n">
        <v>161.24</v>
      </c>
      <c r="T88" s="14" t="n">
        <v>0.9</v>
      </c>
      <c r="U88" s="14" t="n">
        <v>8.65</v>
      </c>
      <c r="V88" s="14" t="n">
        <v>17.57</v>
      </c>
      <c r="W88" s="14" t="n">
        <v>188.36</v>
      </c>
      <c r="X88" s="14" t="n">
        <v>240.4</v>
      </c>
      <c r="Y88" s="14" t="n">
        <v>52.04</v>
      </c>
      <c r="Z88" s="14" t="n">
        <v>2.44</v>
      </c>
      <c r="AA88" s="14" t="n">
        <v>0.06</v>
      </c>
      <c r="AB88" s="14" t="n">
        <v>0.04</v>
      </c>
      <c r="AC88" s="14" t="n">
        <v>0.1</v>
      </c>
      <c r="AD88" s="15" t="n">
        <f aca="false">H88*E88/1000</f>
        <v>0.12664</v>
      </c>
      <c r="AE88" s="15" t="n">
        <f aca="false">I88*E88/1000</f>
        <v>0.06332</v>
      </c>
      <c r="AF88" s="16" t="n">
        <f aca="false">ROUND(S88+T88+U88+V88-W88,2)</f>
        <v>0</v>
      </c>
      <c r="AG88" s="16" t="n">
        <f aca="false">ROUND(X88-W88-Y88,2)</f>
        <v>0</v>
      </c>
    </row>
    <row r="89" customFormat="false" ht="15" hidden="false" customHeight="false" outlineLevel="0" collapsed="false">
      <c r="A89" s="13" t="s">
        <v>217</v>
      </c>
      <c r="B89" s="13" t="s">
        <v>256</v>
      </c>
      <c r="C89" s="13" t="s">
        <v>263</v>
      </c>
      <c r="D89" s="13" t="s">
        <v>264</v>
      </c>
      <c r="E89" s="14" t="n">
        <v>15.4</v>
      </c>
      <c r="F89" s="14" t="n">
        <v>272</v>
      </c>
      <c r="G89" s="14" t="n">
        <v>4.19</v>
      </c>
      <c r="H89" s="14" t="n">
        <v>1</v>
      </c>
      <c r="I89" s="14"/>
      <c r="J89" s="14" t="n">
        <v>67.5</v>
      </c>
      <c r="K89" s="14" t="n">
        <v>135.08</v>
      </c>
      <c r="L89" s="14" t="n">
        <v>1.96</v>
      </c>
      <c r="M89" s="14" t="n">
        <v>23.36</v>
      </c>
      <c r="N89" s="14" t="n">
        <v>3.9</v>
      </c>
      <c r="O89" s="14" t="n">
        <v>0.54</v>
      </c>
      <c r="P89" s="14" t="n">
        <v>1.5</v>
      </c>
      <c r="Q89" s="14"/>
      <c r="R89" s="14" t="n">
        <v>1.1</v>
      </c>
      <c r="S89" s="14" t="n">
        <v>167.43</v>
      </c>
      <c r="T89" s="14" t="n">
        <v>0.9</v>
      </c>
      <c r="U89" s="14" t="n">
        <v>8.65</v>
      </c>
      <c r="V89" s="14" t="n">
        <v>16.61</v>
      </c>
      <c r="W89" s="14" t="n">
        <v>193.58</v>
      </c>
      <c r="X89" s="14" t="n">
        <v>240.4</v>
      </c>
      <c r="Y89" s="14" t="n">
        <v>46.82</v>
      </c>
      <c r="Z89" s="14" t="n">
        <v>1.95</v>
      </c>
      <c r="AA89" s="14" t="n">
        <v>0.01</v>
      </c>
      <c r="AB89" s="14" t="n">
        <v>0</v>
      </c>
      <c r="AC89" s="14" t="n">
        <v>0.01</v>
      </c>
      <c r="AD89" s="15" t="n">
        <f aca="false">H89*E89/1000</f>
        <v>0.0154</v>
      </c>
      <c r="AE89" s="15" t="n">
        <f aca="false">I89*E89/1000</f>
        <v>0</v>
      </c>
      <c r="AF89" s="16" t="n">
        <f aca="false">ROUND(S89+T89+U89+V89-W89,2)</f>
        <v>0.01</v>
      </c>
      <c r="AG89" s="16" t="n">
        <f aca="false">ROUND(X89-W89-Y89,2)</f>
        <v>0</v>
      </c>
    </row>
    <row r="90" customFormat="false" ht="15" hidden="false" customHeight="false" outlineLevel="0" collapsed="false">
      <c r="A90" s="13" t="s">
        <v>217</v>
      </c>
      <c r="B90" s="13" t="s">
        <v>256</v>
      </c>
      <c r="C90" s="13" t="s">
        <v>263</v>
      </c>
      <c r="D90" s="13" t="s">
        <v>265</v>
      </c>
      <c r="E90" s="14" t="n">
        <v>17</v>
      </c>
      <c r="F90" s="14" t="n">
        <v>312</v>
      </c>
      <c r="G90" s="14" t="n">
        <v>5.3</v>
      </c>
      <c r="H90" s="14"/>
      <c r="I90" s="14"/>
      <c r="J90" s="14" t="n">
        <v>62.02</v>
      </c>
      <c r="K90" s="14" t="n">
        <v>135.74</v>
      </c>
      <c r="L90" s="14" t="n">
        <v>2.13</v>
      </c>
      <c r="M90" s="14" t="n">
        <v>20.47</v>
      </c>
      <c r="N90" s="14" t="n">
        <v>3.9</v>
      </c>
      <c r="O90" s="14" t="n">
        <v>0.54</v>
      </c>
      <c r="P90" s="14" t="n">
        <v>1.5</v>
      </c>
      <c r="Q90" s="14"/>
      <c r="R90" s="14" t="n">
        <v>1.1</v>
      </c>
      <c r="S90" s="14" t="n">
        <v>165.38</v>
      </c>
      <c r="T90" s="14" t="n">
        <v>0.9</v>
      </c>
      <c r="U90" s="14" t="n">
        <v>8.65</v>
      </c>
      <c r="V90" s="14" t="n">
        <v>17.41</v>
      </c>
      <c r="W90" s="14" t="n">
        <v>192.34</v>
      </c>
      <c r="X90" s="14" t="n">
        <v>240.4</v>
      </c>
      <c r="Y90" s="14" t="n">
        <v>48.06</v>
      </c>
      <c r="Z90" s="14" t="n">
        <v>2.55</v>
      </c>
      <c r="AA90" s="14" t="n">
        <v>0</v>
      </c>
      <c r="AB90" s="14" t="n">
        <v>0</v>
      </c>
      <c r="AC90" s="14" t="n">
        <v>0</v>
      </c>
      <c r="AD90" s="15" t="n">
        <f aca="false">H90*E90/1000</f>
        <v>0</v>
      </c>
      <c r="AE90" s="15" t="n">
        <f aca="false">I90*E90/1000</f>
        <v>0</v>
      </c>
      <c r="AF90" s="16" t="n">
        <f aca="false">ROUND(S90+T90+U90+V90-W90,2)</f>
        <v>0</v>
      </c>
      <c r="AG90" s="16" t="n">
        <f aca="false">ROUND(X90-W90-Y90,2)</f>
        <v>0</v>
      </c>
    </row>
    <row r="91" customFormat="false" ht="15" hidden="false" customHeight="false" outlineLevel="0" collapsed="false">
      <c r="A91" s="13" t="s">
        <v>217</v>
      </c>
      <c r="B91" s="13" t="s">
        <v>256</v>
      </c>
      <c r="C91" s="13" t="s">
        <v>263</v>
      </c>
      <c r="D91" s="13" t="s">
        <v>261</v>
      </c>
      <c r="E91" s="14" t="n">
        <v>21.6</v>
      </c>
      <c r="F91" s="14" t="n">
        <v>25</v>
      </c>
      <c r="G91" s="14" t="n">
        <v>0.54</v>
      </c>
      <c r="H91" s="14" t="n">
        <v>3</v>
      </c>
      <c r="I91" s="14"/>
      <c r="J91" s="14" t="n">
        <v>61.98</v>
      </c>
      <c r="K91" s="14" t="n">
        <v>135.75</v>
      </c>
      <c r="L91" s="14" t="n">
        <v>2.13</v>
      </c>
      <c r="M91" s="14" t="n">
        <v>17.39</v>
      </c>
      <c r="N91" s="14" t="n">
        <v>3.9</v>
      </c>
      <c r="O91" s="14" t="n">
        <v>0.54</v>
      </c>
      <c r="P91" s="14" t="n">
        <v>1.5</v>
      </c>
      <c r="Q91" s="14"/>
      <c r="R91" s="14" t="n">
        <v>1.1</v>
      </c>
      <c r="S91" s="14" t="n">
        <v>162.3</v>
      </c>
      <c r="T91" s="14" t="n">
        <v>0.9</v>
      </c>
      <c r="U91" s="14" t="n">
        <v>8.65</v>
      </c>
      <c r="V91" s="14" t="n">
        <v>17.42</v>
      </c>
      <c r="W91" s="14" t="n">
        <v>189.27</v>
      </c>
      <c r="X91" s="14" t="n">
        <v>240.4</v>
      </c>
      <c r="Y91" s="14" t="n">
        <v>51.13</v>
      </c>
      <c r="Z91" s="14" t="n">
        <v>0.21</v>
      </c>
      <c r="AA91" s="14" t="n">
        <v>0.03</v>
      </c>
      <c r="AB91" s="14" t="n">
        <v>0</v>
      </c>
      <c r="AC91" s="14" t="n">
        <v>0.03</v>
      </c>
      <c r="AD91" s="15" t="n">
        <f aca="false">H91*E91/1000</f>
        <v>0.0648</v>
      </c>
      <c r="AE91" s="15" t="n">
        <f aca="false">I91*E91/1000</f>
        <v>0</v>
      </c>
      <c r="AF91" s="16" t="n">
        <f aca="false">ROUND(S91+T91+U91+V91-W91,2)</f>
        <v>0</v>
      </c>
      <c r="AG91" s="16" t="n">
        <f aca="false">ROUND(X91-W91-Y91,2)</f>
        <v>0</v>
      </c>
    </row>
    <row r="92" customFormat="false" ht="15" hidden="false" customHeight="false" outlineLevel="0" collapsed="false">
      <c r="A92" s="13" t="s">
        <v>217</v>
      </c>
      <c r="B92" s="13" t="s">
        <v>256</v>
      </c>
      <c r="C92" s="13" t="s">
        <v>263</v>
      </c>
      <c r="D92" s="13" t="s">
        <v>262</v>
      </c>
      <c r="E92" s="14" t="n">
        <v>47.33</v>
      </c>
      <c r="F92" s="14" t="n">
        <v>24</v>
      </c>
      <c r="G92" s="14" t="n">
        <v>1.14</v>
      </c>
      <c r="H92" s="14"/>
      <c r="I92" s="14"/>
      <c r="J92" s="14" t="n">
        <v>67.25</v>
      </c>
      <c r="K92" s="14" t="n">
        <v>135.1</v>
      </c>
      <c r="L92" s="14" t="n">
        <v>1.96</v>
      </c>
      <c r="M92" s="14" t="n">
        <v>14.11</v>
      </c>
      <c r="N92" s="14" t="n">
        <v>3.9</v>
      </c>
      <c r="O92" s="14" t="n">
        <v>0.54</v>
      </c>
      <c r="P92" s="14" t="n">
        <v>1.5</v>
      </c>
      <c r="Q92" s="14"/>
      <c r="R92" s="14" t="n">
        <v>1.1</v>
      </c>
      <c r="S92" s="14" t="n">
        <v>158.22</v>
      </c>
      <c r="T92" s="14" t="n">
        <v>0.9</v>
      </c>
      <c r="U92" s="14" t="n">
        <v>8.65</v>
      </c>
      <c r="V92" s="14" t="n">
        <v>16.64</v>
      </c>
      <c r="W92" s="14" t="n">
        <v>184.41</v>
      </c>
      <c r="X92" s="14" t="n">
        <v>240.4</v>
      </c>
      <c r="Y92" s="14" t="n">
        <v>55.99</v>
      </c>
      <c r="Z92" s="14" t="n">
        <v>0.64</v>
      </c>
      <c r="AA92" s="14" t="n">
        <v>0</v>
      </c>
      <c r="AB92" s="14" t="n">
        <v>0</v>
      </c>
      <c r="AC92" s="14" t="n">
        <v>0</v>
      </c>
      <c r="AD92" s="15" t="n">
        <f aca="false">H92*E92/1000</f>
        <v>0</v>
      </c>
      <c r="AE92" s="15" t="n">
        <f aca="false">I92*E92/1000</f>
        <v>0</v>
      </c>
      <c r="AF92" s="16" t="n">
        <f aca="false">ROUND(S92+T92+U92+V92-W92,2)</f>
        <v>0</v>
      </c>
      <c r="AG92" s="16" t="n">
        <f aca="false">ROUND(X92-W92-Y92,2)</f>
        <v>0</v>
      </c>
    </row>
    <row r="93" customFormat="false" ht="15" hidden="false" customHeight="false" outlineLevel="0" collapsed="false">
      <c r="A93" s="13" t="s">
        <v>217</v>
      </c>
      <c r="B93" s="13" t="s">
        <v>256</v>
      </c>
      <c r="C93" s="13" t="s">
        <v>263</v>
      </c>
      <c r="D93" s="13" t="s">
        <v>266</v>
      </c>
      <c r="E93" s="14" t="n">
        <v>32.34</v>
      </c>
      <c r="F93" s="14" t="n">
        <v>60</v>
      </c>
      <c r="G93" s="14" t="n">
        <v>1.94</v>
      </c>
      <c r="H93" s="14" t="n">
        <v>1</v>
      </c>
      <c r="I93" s="14"/>
      <c r="J93" s="14" t="n">
        <v>69.3</v>
      </c>
      <c r="K93" s="14" t="n">
        <v>134.88</v>
      </c>
      <c r="L93" s="14" t="n">
        <v>1.9</v>
      </c>
      <c r="M93" s="14" t="n">
        <v>16.76</v>
      </c>
      <c r="N93" s="14" t="n">
        <v>3.9</v>
      </c>
      <c r="O93" s="14" t="n">
        <v>0.54</v>
      </c>
      <c r="P93" s="14" t="n">
        <v>1.5</v>
      </c>
      <c r="Q93" s="14"/>
      <c r="R93" s="14" t="n">
        <v>1.1</v>
      </c>
      <c r="S93" s="14" t="n">
        <v>160.58</v>
      </c>
      <c r="T93" s="14" t="n">
        <v>0.9</v>
      </c>
      <c r="U93" s="14" t="n">
        <v>8.65</v>
      </c>
      <c r="V93" s="14" t="n">
        <v>16.37</v>
      </c>
      <c r="W93" s="14" t="n">
        <v>186.5</v>
      </c>
      <c r="X93" s="14" t="n">
        <v>240.4</v>
      </c>
      <c r="Y93" s="14" t="n">
        <v>53.9</v>
      </c>
      <c r="Z93" s="14" t="n">
        <v>1.01</v>
      </c>
      <c r="AA93" s="14" t="n">
        <v>0.01</v>
      </c>
      <c r="AB93" s="14" t="n">
        <v>0</v>
      </c>
      <c r="AC93" s="14" t="n">
        <v>0.02</v>
      </c>
      <c r="AD93" s="15" t="n">
        <f aca="false">H93*E93/1000</f>
        <v>0.03234</v>
      </c>
      <c r="AE93" s="15" t="n">
        <f aca="false">I93*E93/1000</f>
        <v>0</v>
      </c>
      <c r="AF93" s="16" t="n">
        <f aca="false">ROUND(S93+T93+U93+V93-W93,2)</f>
        <v>0</v>
      </c>
      <c r="AG93" s="16" t="n">
        <f aca="false">ROUND(X93-W93-Y93,2)</f>
        <v>0</v>
      </c>
    </row>
    <row r="94" customFormat="false" ht="15" hidden="false" customHeight="false" outlineLevel="0" collapsed="false">
      <c r="A94" s="13" t="s">
        <v>217</v>
      </c>
      <c r="B94" s="13" t="s">
        <v>256</v>
      </c>
      <c r="C94" s="13" t="s">
        <v>263</v>
      </c>
      <c r="D94" s="13" t="s">
        <v>267</v>
      </c>
      <c r="E94" s="14" t="n">
        <v>30.35</v>
      </c>
      <c r="F94" s="14" t="n">
        <v>96</v>
      </c>
      <c r="G94" s="14" t="n">
        <v>2.91</v>
      </c>
      <c r="H94" s="14"/>
      <c r="I94" s="14"/>
      <c r="J94" s="14" t="n">
        <v>68</v>
      </c>
      <c r="K94" s="14" t="n">
        <v>135.02</v>
      </c>
      <c r="L94" s="14" t="n">
        <v>1.94</v>
      </c>
      <c r="M94" s="14" t="n">
        <v>16.58</v>
      </c>
      <c r="N94" s="14" t="n">
        <v>3.9</v>
      </c>
      <c r="O94" s="14" t="n">
        <v>0.54</v>
      </c>
      <c r="P94" s="14" t="n">
        <v>1.5</v>
      </c>
      <c r="Q94" s="14"/>
      <c r="R94" s="14" t="n">
        <v>1.1</v>
      </c>
      <c r="S94" s="14" t="n">
        <v>160.59</v>
      </c>
      <c r="T94" s="14" t="n">
        <v>0.9</v>
      </c>
      <c r="U94" s="14" t="n">
        <v>8.65</v>
      </c>
      <c r="V94" s="14" t="n">
        <v>16.54</v>
      </c>
      <c r="W94" s="14" t="n">
        <v>186.68</v>
      </c>
      <c r="X94" s="14" t="n">
        <v>240.4</v>
      </c>
      <c r="Y94" s="14" t="n">
        <v>53.72</v>
      </c>
      <c r="Z94" s="14" t="n">
        <v>1.57</v>
      </c>
      <c r="AA94" s="14" t="n">
        <v>0</v>
      </c>
      <c r="AB94" s="14" t="n">
        <v>0</v>
      </c>
      <c r="AC94" s="14" t="n">
        <v>0</v>
      </c>
      <c r="AD94" s="15" t="n">
        <f aca="false">H94*E94/1000</f>
        <v>0</v>
      </c>
      <c r="AE94" s="15" t="n">
        <f aca="false">I94*E94/1000</f>
        <v>0</v>
      </c>
      <c r="AF94" s="16" t="n">
        <f aca="false">ROUND(S94+T94+U94+V94-W94,2)</f>
        <v>0</v>
      </c>
      <c r="AG94" s="16" t="n">
        <f aca="false">ROUND(X94-W94-Y94,2)</f>
        <v>0</v>
      </c>
    </row>
    <row r="95" customFormat="false" ht="15" hidden="false" customHeight="false" outlineLevel="0" collapsed="false">
      <c r="A95" s="13" t="s">
        <v>217</v>
      </c>
      <c r="B95" s="13" t="s">
        <v>256</v>
      </c>
      <c r="C95" s="13" t="s">
        <v>229</v>
      </c>
      <c r="D95" s="13" t="s">
        <v>230</v>
      </c>
      <c r="E95" s="14" t="n">
        <v>34.5</v>
      </c>
      <c r="F95" s="14" t="n">
        <v>594</v>
      </c>
      <c r="G95" s="14" t="n">
        <v>20.49</v>
      </c>
      <c r="H95" s="14" t="n">
        <v>54</v>
      </c>
      <c r="I95" s="14" t="n">
        <v>4</v>
      </c>
      <c r="J95" s="14" t="n">
        <v>69.03</v>
      </c>
      <c r="K95" s="14" t="n">
        <v>142.03</v>
      </c>
      <c r="L95" s="14" t="n">
        <v>2.44</v>
      </c>
      <c r="M95" s="14" t="n">
        <v>14.67</v>
      </c>
      <c r="N95" s="14" t="n">
        <v>3.9</v>
      </c>
      <c r="O95" s="14" t="n">
        <v>0.54</v>
      </c>
      <c r="P95" s="14" t="n">
        <v>1.5</v>
      </c>
      <c r="Q95" s="14"/>
      <c r="R95" s="14" t="n">
        <v>1.1</v>
      </c>
      <c r="S95" s="14" t="n">
        <v>166.18</v>
      </c>
      <c r="T95" s="14" t="n">
        <v>0.9</v>
      </c>
      <c r="U95" s="14" t="n">
        <v>8.65</v>
      </c>
      <c r="V95" s="14" t="n">
        <v>16.4</v>
      </c>
      <c r="W95" s="14" t="n">
        <v>192.14</v>
      </c>
      <c r="X95" s="14" t="n">
        <v>237.93</v>
      </c>
      <c r="Y95" s="14" t="n">
        <v>45.79</v>
      </c>
      <c r="Z95" s="14" t="n">
        <v>7.57</v>
      </c>
      <c r="AA95" s="14" t="n">
        <v>0.82</v>
      </c>
      <c r="AB95" s="14" t="n">
        <v>0.08</v>
      </c>
      <c r="AC95" s="14" t="n">
        <v>0.92</v>
      </c>
      <c r="AD95" s="15" t="n">
        <f aca="false">H95*E95/1000</f>
        <v>1.863</v>
      </c>
      <c r="AE95" s="15" t="n">
        <f aca="false">I95*E95/1000</f>
        <v>0.138</v>
      </c>
      <c r="AF95" s="16" t="n">
        <f aca="false">ROUND(S95+T95+U95+V95-W95,2)</f>
        <v>-0.01</v>
      </c>
      <c r="AG95" s="16" t="n">
        <f aca="false">ROUND(X95-W95-Y95,2)</f>
        <v>0</v>
      </c>
    </row>
    <row r="96" customFormat="false" ht="15" hidden="false" customHeight="false" outlineLevel="0" collapsed="false">
      <c r="A96" s="13" t="s">
        <v>217</v>
      </c>
      <c r="B96" s="13" t="s">
        <v>256</v>
      </c>
      <c r="C96" s="13" t="s">
        <v>229</v>
      </c>
      <c r="D96" s="13" t="s">
        <v>260</v>
      </c>
      <c r="E96" s="14" t="n">
        <v>22.8</v>
      </c>
      <c r="F96" s="14" t="n">
        <v>6</v>
      </c>
      <c r="G96" s="14" t="n">
        <v>0.14</v>
      </c>
      <c r="H96" s="14" t="n">
        <v>5</v>
      </c>
      <c r="I96" s="14"/>
      <c r="J96" s="14" t="n">
        <v>64.48</v>
      </c>
      <c r="K96" s="14" t="n">
        <v>142.58</v>
      </c>
      <c r="L96" s="14" t="n">
        <v>2.61</v>
      </c>
      <c r="M96" s="14" t="n">
        <v>16.99</v>
      </c>
      <c r="N96" s="14" t="n">
        <v>3.9</v>
      </c>
      <c r="O96" s="14" t="n">
        <v>0.54</v>
      </c>
      <c r="P96" s="14" t="n">
        <v>1.5</v>
      </c>
      <c r="Q96" s="14"/>
      <c r="R96" s="14" t="n">
        <v>1.1</v>
      </c>
      <c r="S96" s="14" t="n">
        <v>169.22</v>
      </c>
      <c r="T96" s="14" t="n">
        <v>0.9</v>
      </c>
      <c r="U96" s="14" t="n">
        <v>8.65</v>
      </c>
      <c r="V96" s="14" t="n">
        <v>17.03</v>
      </c>
      <c r="W96" s="14" t="n">
        <v>195.8</v>
      </c>
      <c r="X96" s="14" t="n">
        <v>237.93</v>
      </c>
      <c r="Y96" s="14" t="n">
        <v>42.13</v>
      </c>
      <c r="Z96" s="14" t="n">
        <v>-0.04</v>
      </c>
      <c r="AA96" s="14" t="n">
        <v>0.05</v>
      </c>
      <c r="AB96" s="14" t="n">
        <v>0</v>
      </c>
      <c r="AC96" s="14" t="n">
        <v>0.05</v>
      </c>
      <c r="AD96" s="15" t="n">
        <f aca="false">H96*E96/1000</f>
        <v>0.114</v>
      </c>
      <c r="AE96" s="15" t="n">
        <f aca="false">I96*E96/1000</f>
        <v>0</v>
      </c>
      <c r="AF96" s="16" t="n">
        <f aca="false">ROUND(S96+T96+U96+V96-W96,2)</f>
        <v>0</v>
      </c>
      <c r="AG96" s="16" t="n">
        <f aca="false">ROUND(X96-W96-Y96,2)</f>
        <v>0</v>
      </c>
    </row>
    <row r="97" customFormat="false" ht="15" hidden="false" customHeight="false" outlineLevel="0" collapsed="false">
      <c r="A97" s="13" t="s">
        <v>217</v>
      </c>
      <c r="B97" s="13" t="s">
        <v>256</v>
      </c>
      <c r="C97" s="13" t="s">
        <v>229</v>
      </c>
      <c r="D97" s="13" t="s">
        <v>231</v>
      </c>
      <c r="E97" s="14" t="n">
        <v>26.17</v>
      </c>
      <c r="F97" s="14" t="n">
        <v>306</v>
      </c>
      <c r="G97" s="14" t="n">
        <v>8.01</v>
      </c>
      <c r="H97" s="14" t="n">
        <v>20</v>
      </c>
      <c r="I97" s="14"/>
      <c r="J97" s="14" t="n">
        <v>65.78</v>
      </c>
      <c r="K97" s="14" t="n">
        <v>142.41</v>
      </c>
      <c r="L97" s="14" t="n">
        <v>2.56</v>
      </c>
      <c r="M97" s="14" t="n">
        <v>17.14</v>
      </c>
      <c r="N97" s="14" t="n">
        <v>3.9</v>
      </c>
      <c r="O97" s="14" t="n">
        <v>0.54</v>
      </c>
      <c r="P97" s="14" t="n">
        <v>1.5</v>
      </c>
      <c r="Q97" s="14"/>
      <c r="R97" s="14" t="n">
        <v>1.1</v>
      </c>
      <c r="S97" s="14" t="n">
        <v>169.15</v>
      </c>
      <c r="T97" s="14" t="n">
        <v>0.9</v>
      </c>
      <c r="U97" s="14" t="n">
        <v>8.65</v>
      </c>
      <c r="V97" s="14" t="n">
        <v>16.84</v>
      </c>
      <c r="W97" s="14" t="n">
        <v>195.54</v>
      </c>
      <c r="X97" s="14" t="n">
        <v>237.93</v>
      </c>
      <c r="Y97" s="14" t="n">
        <v>42.39</v>
      </c>
      <c r="Z97" s="14" t="n">
        <v>2.92</v>
      </c>
      <c r="AA97" s="14" t="n">
        <v>0.25</v>
      </c>
      <c r="AB97" s="14" t="n">
        <v>0</v>
      </c>
      <c r="AC97" s="14" t="n">
        <v>0.22</v>
      </c>
      <c r="AD97" s="15" t="n">
        <f aca="false">H97*E97/1000</f>
        <v>0.5234</v>
      </c>
      <c r="AE97" s="15" t="n">
        <f aca="false">I97*E97/1000</f>
        <v>0</v>
      </c>
      <c r="AF97" s="16" t="n">
        <f aca="false">ROUND(S97+T97+U97+V97-W97,2)</f>
        <v>0</v>
      </c>
      <c r="AG97" s="16" t="n">
        <f aca="false">ROUND(X97-W97-Y97,2)</f>
        <v>0</v>
      </c>
    </row>
    <row r="98" customFormat="false" ht="15" hidden="false" customHeight="false" outlineLevel="0" collapsed="false">
      <c r="A98" s="13" t="s">
        <v>217</v>
      </c>
      <c r="B98" s="13" t="s">
        <v>256</v>
      </c>
      <c r="C98" s="13" t="s">
        <v>229</v>
      </c>
      <c r="D98" s="13" t="s">
        <v>232</v>
      </c>
      <c r="E98" s="14" t="n">
        <v>50.15</v>
      </c>
      <c r="F98" s="14" t="n">
        <v>12</v>
      </c>
      <c r="G98" s="14" t="n">
        <v>0.6</v>
      </c>
      <c r="H98" s="14" t="n">
        <v>1</v>
      </c>
      <c r="I98" s="14" t="n">
        <v>1</v>
      </c>
      <c r="J98" s="14" t="n">
        <v>70.44</v>
      </c>
      <c r="K98" s="14" t="n">
        <v>141.87</v>
      </c>
      <c r="L98" s="14" t="n">
        <v>2.39</v>
      </c>
      <c r="M98" s="14" t="n">
        <v>15.37</v>
      </c>
      <c r="N98" s="14" t="n">
        <v>3.9</v>
      </c>
      <c r="O98" s="14" t="n">
        <v>0.54</v>
      </c>
      <c r="P98" s="14" t="n">
        <v>1.5</v>
      </c>
      <c r="Q98" s="14"/>
      <c r="R98" s="14" t="n">
        <v>1.1</v>
      </c>
      <c r="S98" s="14" t="n">
        <v>166.67</v>
      </c>
      <c r="T98" s="14" t="n">
        <v>0.9</v>
      </c>
      <c r="U98" s="14" t="n">
        <v>8.65</v>
      </c>
      <c r="V98" s="14" t="n">
        <v>16.23</v>
      </c>
      <c r="W98" s="14" t="n">
        <v>192.45</v>
      </c>
      <c r="X98" s="14" t="n">
        <v>237.93</v>
      </c>
      <c r="Y98" s="14" t="n">
        <v>45.48</v>
      </c>
      <c r="Z98" s="14" t="n">
        <v>0.18</v>
      </c>
      <c r="AA98" s="14" t="n">
        <v>0.02</v>
      </c>
      <c r="AB98" s="14" t="n">
        <v>0.03</v>
      </c>
      <c r="AC98" s="14" t="n">
        <v>0.05</v>
      </c>
      <c r="AD98" s="15" t="n">
        <f aca="false">H98*E98/1000</f>
        <v>0.05015</v>
      </c>
      <c r="AE98" s="15" t="n">
        <f aca="false">I98*E98/1000</f>
        <v>0.05015</v>
      </c>
      <c r="AF98" s="16" t="n">
        <f aca="false">ROUND(S98+T98+U98+V98-W98,2)</f>
        <v>0</v>
      </c>
      <c r="AG98" s="16" t="n">
        <f aca="false">ROUND(X98-W98-Y98,2)</f>
        <v>0</v>
      </c>
    </row>
    <row r="99" customFormat="false" ht="15" hidden="false" customHeight="false" outlineLevel="0" collapsed="false">
      <c r="A99" s="13" t="s">
        <v>217</v>
      </c>
      <c r="B99" s="13" t="s">
        <v>256</v>
      </c>
      <c r="C99" s="13" t="s">
        <v>229</v>
      </c>
      <c r="D99" s="13" t="s">
        <v>244</v>
      </c>
      <c r="E99" s="14" t="n">
        <v>37.5</v>
      </c>
      <c r="F99" s="14" t="n">
        <v>56</v>
      </c>
      <c r="G99" s="14" t="n">
        <v>2.1</v>
      </c>
      <c r="H99" s="14" t="n">
        <v>10</v>
      </c>
      <c r="I99" s="14" t="n">
        <v>1</v>
      </c>
      <c r="J99" s="14" t="n">
        <v>63.73</v>
      </c>
      <c r="K99" s="14" t="n">
        <v>142.68</v>
      </c>
      <c r="L99" s="14" t="n">
        <v>2.64</v>
      </c>
      <c r="M99" s="14" t="n">
        <v>13.47</v>
      </c>
      <c r="N99" s="14" t="n">
        <v>3.9</v>
      </c>
      <c r="O99" s="14" t="n">
        <v>0.54</v>
      </c>
      <c r="P99" s="14" t="n">
        <v>1.5</v>
      </c>
      <c r="Q99" s="14"/>
      <c r="R99" s="14" t="n">
        <v>1.1</v>
      </c>
      <c r="S99" s="14" t="n">
        <v>165.83</v>
      </c>
      <c r="T99" s="14" t="n">
        <v>0.9</v>
      </c>
      <c r="U99" s="14" t="n">
        <v>8.65</v>
      </c>
      <c r="V99" s="14" t="n">
        <v>17.15</v>
      </c>
      <c r="W99" s="14" t="n">
        <v>192.53</v>
      </c>
      <c r="X99" s="14" t="n">
        <v>237.93</v>
      </c>
      <c r="Y99" s="14" t="n">
        <v>45.4</v>
      </c>
      <c r="Z99" s="14" t="n">
        <v>0.58</v>
      </c>
      <c r="AA99" s="14" t="n">
        <v>0.17</v>
      </c>
      <c r="AB99" s="14" t="n">
        <v>0.02</v>
      </c>
      <c r="AC99" s="14" t="n">
        <v>0.19</v>
      </c>
      <c r="AD99" s="15" t="n">
        <f aca="false">H99*E99/1000</f>
        <v>0.375</v>
      </c>
      <c r="AE99" s="15" t="n">
        <f aca="false">I99*E99/1000</f>
        <v>0.0375</v>
      </c>
      <c r="AF99" s="16" t="n">
        <f aca="false">ROUND(S99+T99+U99+V99-W99,2)</f>
        <v>0</v>
      </c>
      <c r="AG99" s="16" t="n">
        <f aca="false">ROUND(X99-W99-Y99,2)</f>
        <v>0</v>
      </c>
    </row>
    <row r="100" customFormat="false" ht="15" hidden="false" customHeight="false" outlineLevel="0" collapsed="false">
      <c r="A100" s="13" t="s">
        <v>217</v>
      </c>
      <c r="B100" s="13" t="s">
        <v>256</v>
      </c>
      <c r="C100" s="13" t="s">
        <v>229</v>
      </c>
      <c r="D100" s="13" t="s">
        <v>264</v>
      </c>
      <c r="E100" s="14" t="n">
        <v>15.4</v>
      </c>
      <c r="F100" s="14" t="n">
        <v>280</v>
      </c>
      <c r="G100" s="14" t="n">
        <v>4.31</v>
      </c>
      <c r="H100" s="14" t="n">
        <v>22</v>
      </c>
      <c r="I100" s="14" t="n">
        <v>1</v>
      </c>
      <c r="J100" s="14" t="n">
        <v>67.5</v>
      </c>
      <c r="K100" s="14" t="n">
        <v>142.21</v>
      </c>
      <c r="L100" s="14" t="n">
        <v>2.49</v>
      </c>
      <c r="M100" s="14" t="n">
        <v>24.39</v>
      </c>
      <c r="N100" s="14" t="n">
        <v>3.9</v>
      </c>
      <c r="O100" s="14" t="n">
        <v>0.54</v>
      </c>
      <c r="P100" s="14" t="n">
        <v>1.5</v>
      </c>
      <c r="Q100" s="14"/>
      <c r="R100" s="14" t="n">
        <v>1.1</v>
      </c>
      <c r="S100" s="14" t="n">
        <v>176.13</v>
      </c>
      <c r="T100" s="14" t="n">
        <v>0.9</v>
      </c>
      <c r="U100" s="14" t="n">
        <v>8.65</v>
      </c>
      <c r="V100" s="14" t="n">
        <v>16.61</v>
      </c>
      <c r="W100" s="14" t="n">
        <v>202.28</v>
      </c>
      <c r="X100" s="14" t="n">
        <v>237.93</v>
      </c>
      <c r="Y100" s="14" t="n">
        <v>35.65</v>
      </c>
      <c r="Z100" s="14" t="n">
        <v>1.22</v>
      </c>
      <c r="AA100" s="14" t="n">
        <v>0.18</v>
      </c>
      <c r="AB100" s="14" t="n">
        <v>0.01</v>
      </c>
      <c r="AC100" s="14" t="n">
        <v>0.13</v>
      </c>
      <c r="AD100" s="15" t="n">
        <f aca="false">H100*E100/1000</f>
        <v>0.3388</v>
      </c>
      <c r="AE100" s="15" t="n">
        <f aca="false">I100*E100/1000</f>
        <v>0.0154</v>
      </c>
      <c r="AF100" s="16" t="n">
        <f aca="false">ROUND(S100+T100+U100+V100-W100,2)</f>
        <v>0.01</v>
      </c>
      <c r="AG100" s="16" t="n">
        <f aca="false">ROUND(X100-W100-Y100,2)</f>
        <v>0</v>
      </c>
    </row>
    <row r="101" customFormat="false" ht="15" hidden="false" customHeight="false" outlineLevel="0" collapsed="false">
      <c r="A101" s="13" t="s">
        <v>217</v>
      </c>
      <c r="B101" s="13" t="s">
        <v>256</v>
      </c>
      <c r="C101" s="13" t="s">
        <v>229</v>
      </c>
      <c r="D101" s="13" t="s">
        <v>265</v>
      </c>
      <c r="E101" s="14" t="n">
        <v>17</v>
      </c>
      <c r="F101" s="14" t="n">
        <v>328</v>
      </c>
      <c r="G101" s="14" t="n">
        <v>5.58</v>
      </c>
      <c r="H101" s="14" t="n">
        <v>20</v>
      </c>
      <c r="I101" s="14" t="n">
        <v>1</v>
      </c>
      <c r="J101" s="14" t="n">
        <v>62.02</v>
      </c>
      <c r="K101" s="14" t="n">
        <v>142.91</v>
      </c>
      <c r="L101" s="14" t="n">
        <v>2.71</v>
      </c>
      <c r="M101" s="14" t="n">
        <v>21.47</v>
      </c>
      <c r="N101" s="14" t="n">
        <v>3.9</v>
      </c>
      <c r="O101" s="14" t="n">
        <v>0.54</v>
      </c>
      <c r="P101" s="14" t="n">
        <v>1.5</v>
      </c>
      <c r="Q101" s="14"/>
      <c r="R101" s="14" t="n">
        <v>1.1</v>
      </c>
      <c r="S101" s="14" t="n">
        <v>174.13</v>
      </c>
      <c r="T101" s="14" t="n">
        <v>0.9</v>
      </c>
      <c r="U101" s="14" t="n">
        <v>8.65</v>
      </c>
      <c r="V101" s="14" t="n">
        <v>17.41</v>
      </c>
      <c r="W101" s="14" t="n">
        <v>201.1</v>
      </c>
      <c r="X101" s="14" t="n">
        <v>237.93</v>
      </c>
      <c r="Y101" s="14" t="n">
        <v>36.83</v>
      </c>
      <c r="Z101" s="14" t="n">
        <v>1.73</v>
      </c>
      <c r="AA101" s="14" t="n">
        <v>0.18</v>
      </c>
      <c r="AB101" s="14" t="n">
        <v>0.01</v>
      </c>
      <c r="AC101" s="14" t="n">
        <v>0.13</v>
      </c>
      <c r="AD101" s="15" t="n">
        <f aca="false">H101*E101/1000</f>
        <v>0.34</v>
      </c>
      <c r="AE101" s="15" t="n">
        <f aca="false">I101*E101/1000</f>
        <v>0.017</v>
      </c>
      <c r="AF101" s="16" t="n">
        <f aca="false">ROUND(S101+T101+U101+V101-W101,2)</f>
        <v>-0.01</v>
      </c>
      <c r="AG101" s="16" t="n">
        <f aca="false">ROUND(X101-W101-Y101,2)</f>
        <v>0</v>
      </c>
    </row>
    <row r="102" customFormat="false" ht="15" hidden="false" customHeight="false" outlineLevel="0" collapsed="false">
      <c r="A102" s="13" t="s">
        <v>217</v>
      </c>
      <c r="B102" s="13" t="s">
        <v>256</v>
      </c>
      <c r="C102" s="13" t="s">
        <v>229</v>
      </c>
      <c r="D102" s="13" t="s">
        <v>261</v>
      </c>
      <c r="E102" s="14" t="n">
        <v>21.6</v>
      </c>
      <c r="F102" s="14" t="n">
        <v>48</v>
      </c>
      <c r="G102" s="14" t="n">
        <v>1.04</v>
      </c>
      <c r="H102" s="14"/>
      <c r="I102" s="14"/>
      <c r="J102" s="14" t="n">
        <v>61.98</v>
      </c>
      <c r="K102" s="14" t="n">
        <v>142.91</v>
      </c>
      <c r="L102" s="14" t="n">
        <v>2.71</v>
      </c>
      <c r="M102" s="14" t="n">
        <v>18.22</v>
      </c>
      <c r="N102" s="14" t="n">
        <v>3.9</v>
      </c>
      <c r="O102" s="14" t="n">
        <v>0.54</v>
      </c>
      <c r="P102" s="14" t="n">
        <v>1.5</v>
      </c>
      <c r="Q102" s="14"/>
      <c r="R102" s="14" t="n">
        <v>1.1</v>
      </c>
      <c r="S102" s="14" t="n">
        <v>170.89</v>
      </c>
      <c r="T102" s="14" t="n">
        <v>0.9</v>
      </c>
      <c r="U102" s="14" t="n">
        <v>8.65</v>
      </c>
      <c r="V102" s="14" t="n">
        <v>17.42</v>
      </c>
      <c r="W102" s="14" t="n">
        <v>197.86</v>
      </c>
      <c r="X102" s="14" t="n">
        <v>237.93</v>
      </c>
      <c r="Y102" s="14" t="n">
        <v>40.07</v>
      </c>
      <c r="Z102" s="14" t="n">
        <v>0.42</v>
      </c>
      <c r="AA102" s="14" t="n">
        <v>0</v>
      </c>
      <c r="AB102" s="14" t="n">
        <v>0</v>
      </c>
      <c r="AC102" s="14" t="n">
        <v>0</v>
      </c>
      <c r="AD102" s="15" t="n">
        <f aca="false">H102*E102/1000</f>
        <v>0</v>
      </c>
      <c r="AE102" s="15" t="n">
        <f aca="false">I102*E102/1000</f>
        <v>0</v>
      </c>
      <c r="AF102" s="16" t="n">
        <f aca="false">ROUND(S102+T102+U102+V102-W102,2)</f>
        <v>0</v>
      </c>
      <c r="AG102" s="16" t="n">
        <f aca="false">ROUND(X102-W102-Y102,2)</f>
        <v>0</v>
      </c>
    </row>
    <row r="103" customFormat="false" ht="15" hidden="false" customHeight="false" outlineLevel="0" collapsed="false">
      <c r="A103" s="13" t="s">
        <v>217</v>
      </c>
      <c r="B103" s="13" t="s">
        <v>256</v>
      </c>
      <c r="C103" s="13" t="s">
        <v>229</v>
      </c>
      <c r="D103" s="13" t="s">
        <v>262</v>
      </c>
      <c r="E103" s="14" t="n">
        <v>47.33</v>
      </c>
      <c r="F103" s="14" t="n">
        <v>27</v>
      </c>
      <c r="G103" s="14" t="n">
        <v>1.28</v>
      </c>
      <c r="H103" s="14" t="n">
        <v>5</v>
      </c>
      <c r="I103" s="14"/>
      <c r="J103" s="14" t="n">
        <v>67.25</v>
      </c>
      <c r="K103" s="14" t="n">
        <v>142.23</v>
      </c>
      <c r="L103" s="14" t="n">
        <v>2.5</v>
      </c>
      <c r="M103" s="14" t="n">
        <v>14.77</v>
      </c>
      <c r="N103" s="14" t="n">
        <v>3.9</v>
      </c>
      <c r="O103" s="14" t="n">
        <v>0.54</v>
      </c>
      <c r="P103" s="14" t="n">
        <v>1.5</v>
      </c>
      <c r="Q103" s="14"/>
      <c r="R103" s="14" t="n">
        <v>1.1</v>
      </c>
      <c r="S103" s="14" t="n">
        <v>166.54</v>
      </c>
      <c r="T103" s="14" t="n">
        <v>0.9</v>
      </c>
      <c r="U103" s="14" t="n">
        <v>8.65</v>
      </c>
      <c r="V103" s="14" t="n">
        <v>16.64</v>
      </c>
      <c r="W103" s="14" t="n">
        <v>192.73</v>
      </c>
      <c r="X103" s="14" t="n">
        <v>237.93</v>
      </c>
      <c r="Y103" s="14" t="n">
        <v>45.2</v>
      </c>
      <c r="Z103" s="14" t="n">
        <v>0.36</v>
      </c>
      <c r="AA103" s="14" t="n">
        <v>0.11</v>
      </c>
      <c r="AB103" s="14" t="n">
        <v>0</v>
      </c>
      <c r="AC103" s="14" t="n">
        <v>0.11</v>
      </c>
      <c r="AD103" s="15" t="n">
        <f aca="false">H103*E103/1000</f>
        <v>0.23665</v>
      </c>
      <c r="AE103" s="15" t="n">
        <f aca="false">I103*E103/1000</f>
        <v>0</v>
      </c>
      <c r="AF103" s="16" t="n">
        <f aca="false">ROUND(S103+T103+U103+V103-W103,2)</f>
        <v>0</v>
      </c>
      <c r="AG103" s="16" t="n">
        <f aca="false">ROUND(X103-W103-Y103,2)</f>
        <v>0</v>
      </c>
    </row>
    <row r="104" customFormat="false" ht="15" hidden="false" customHeight="false" outlineLevel="0" collapsed="false">
      <c r="A104" s="13" t="s">
        <v>217</v>
      </c>
      <c r="B104" s="13" t="s">
        <v>256</v>
      </c>
      <c r="C104" s="13" t="s">
        <v>229</v>
      </c>
      <c r="D104" s="13" t="s">
        <v>266</v>
      </c>
      <c r="E104" s="14" t="n">
        <v>32.34</v>
      </c>
      <c r="F104" s="14" t="n">
        <v>72</v>
      </c>
      <c r="G104" s="14" t="n">
        <v>2.33</v>
      </c>
      <c r="H104" s="14" t="n">
        <v>5</v>
      </c>
      <c r="I104" s="14"/>
      <c r="J104" s="14" t="n">
        <v>69.3</v>
      </c>
      <c r="K104" s="14" t="n">
        <v>142</v>
      </c>
      <c r="L104" s="14" t="n">
        <v>2.43</v>
      </c>
      <c r="M104" s="14" t="n">
        <v>17.56</v>
      </c>
      <c r="N104" s="14" t="n">
        <v>3.9</v>
      </c>
      <c r="O104" s="14" t="n">
        <v>0.54</v>
      </c>
      <c r="P104" s="14" t="n">
        <v>1.5</v>
      </c>
      <c r="Q104" s="14"/>
      <c r="R104" s="14" t="n">
        <v>1.1</v>
      </c>
      <c r="S104" s="14" t="n">
        <v>169.02</v>
      </c>
      <c r="T104" s="14" t="n">
        <v>0.9</v>
      </c>
      <c r="U104" s="14" t="n">
        <v>8.65</v>
      </c>
      <c r="V104" s="14" t="n">
        <v>16.37</v>
      </c>
      <c r="W104" s="14" t="n">
        <v>194.94</v>
      </c>
      <c r="X104" s="14" t="n">
        <v>237.93</v>
      </c>
      <c r="Y104" s="14" t="n">
        <v>42.99</v>
      </c>
      <c r="Z104" s="14" t="n">
        <v>0.86</v>
      </c>
      <c r="AA104" s="14" t="n">
        <v>0.08</v>
      </c>
      <c r="AB104" s="14" t="n">
        <v>0</v>
      </c>
      <c r="AC104" s="14" t="n">
        <v>0.07</v>
      </c>
      <c r="AD104" s="15" t="n">
        <f aca="false">H104*E104/1000</f>
        <v>0.1617</v>
      </c>
      <c r="AE104" s="15" t="n">
        <f aca="false">I104*E104/1000</f>
        <v>0</v>
      </c>
      <c r="AF104" s="16" t="n">
        <f aca="false">ROUND(S104+T104+U104+V104-W104,2)</f>
        <v>0</v>
      </c>
      <c r="AG104" s="16" t="n">
        <f aca="false">ROUND(X104-W104-Y104,2)</f>
        <v>0</v>
      </c>
    </row>
    <row r="105" customFormat="false" ht="15" hidden="false" customHeight="false" outlineLevel="0" collapsed="false">
      <c r="A105" s="13" t="s">
        <v>217</v>
      </c>
      <c r="B105" s="13" t="s">
        <v>256</v>
      </c>
      <c r="C105" s="13" t="s">
        <v>229</v>
      </c>
      <c r="D105" s="13" t="s">
        <v>267</v>
      </c>
      <c r="E105" s="14" t="n">
        <v>30.35</v>
      </c>
      <c r="F105" s="14" t="n">
        <v>112</v>
      </c>
      <c r="G105" s="14" t="n">
        <v>3.4</v>
      </c>
      <c r="H105" s="14" t="n">
        <v>16</v>
      </c>
      <c r="I105" s="14"/>
      <c r="J105" s="14" t="n">
        <v>68</v>
      </c>
      <c r="K105" s="14" t="n">
        <v>142.15</v>
      </c>
      <c r="L105" s="14" t="n">
        <v>2.47</v>
      </c>
      <c r="M105" s="14" t="n">
        <v>17.37</v>
      </c>
      <c r="N105" s="14" t="n">
        <v>3.9</v>
      </c>
      <c r="O105" s="14" t="n">
        <v>0.54</v>
      </c>
      <c r="P105" s="14" t="n">
        <v>1.5</v>
      </c>
      <c r="Q105" s="14"/>
      <c r="R105" s="14" t="n">
        <v>1.1</v>
      </c>
      <c r="S105" s="14" t="n">
        <v>169.03</v>
      </c>
      <c r="T105" s="14" t="n">
        <v>0.9</v>
      </c>
      <c r="U105" s="14" t="n">
        <v>8.65</v>
      </c>
      <c r="V105" s="14" t="n">
        <v>16.54</v>
      </c>
      <c r="W105" s="14" t="n">
        <v>195.12</v>
      </c>
      <c r="X105" s="14" t="n">
        <v>237.93</v>
      </c>
      <c r="Y105" s="14" t="n">
        <v>42.81</v>
      </c>
      <c r="Z105" s="14" t="n">
        <v>1.02</v>
      </c>
      <c r="AA105" s="14" t="n">
        <v>0.23</v>
      </c>
      <c r="AB105" s="14" t="n">
        <v>0</v>
      </c>
      <c r="AC105" s="14" t="n">
        <v>0.21</v>
      </c>
      <c r="AD105" s="15" t="n">
        <f aca="false">H105*E105/1000</f>
        <v>0.4856</v>
      </c>
      <c r="AE105" s="15" t="n">
        <f aca="false">I105*E105/1000</f>
        <v>0</v>
      </c>
      <c r="AF105" s="16" t="n">
        <f aca="false">ROUND(S105+T105+U105+V105-W105,2)</f>
        <v>0</v>
      </c>
      <c r="AG105" s="16" t="n">
        <f aca="false">ROUND(X105-W105-Y105,2)</f>
        <v>0</v>
      </c>
    </row>
    <row r="106" customFormat="false" ht="15" hidden="false" customHeight="false" outlineLevel="0" collapsed="false">
      <c r="A106" s="13" t="s">
        <v>217</v>
      </c>
      <c r="B106" s="13" t="s">
        <v>256</v>
      </c>
      <c r="C106" s="13" t="s">
        <v>234</v>
      </c>
      <c r="D106" s="13" t="s">
        <v>230</v>
      </c>
      <c r="E106" s="14" t="n">
        <v>34.5</v>
      </c>
      <c r="F106" s="14" t="n">
        <v>18</v>
      </c>
      <c r="G106" s="14" t="n">
        <v>0.62</v>
      </c>
      <c r="H106" s="14" t="n">
        <v>21</v>
      </c>
      <c r="I106" s="14"/>
      <c r="J106" s="14" t="n">
        <v>69.03</v>
      </c>
      <c r="K106" s="14" t="n">
        <v>146.87</v>
      </c>
      <c r="L106" s="14" t="n">
        <v>2.44</v>
      </c>
      <c r="M106" s="14" t="n">
        <v>16.73</v>
      </c>
      <c r="N106" s="14" t="n">
        <v>3.9</v>
      </c>
      <c r="O106" s="14" t="n">
        <v>0.54</v>
      </c>
      <c r="P106" s="14" t="n">
        <v>1.5</v>
      </c>
      <c r="Q106" s="14"/>
      <c r="R106" s="14" t="n">
        <v>1.4</v>
      </c>
      <c r="S106" s="14" t="n">
        <v>173.38</v>
      </c>
      <c r="T106" s="14" t="n">
        <v>0.9</v>
      </c>
      <c r="U106" s="14" t="n">
        <v>10.86</v>
      </c>
      <c r="V106" s="14" t="n">
        <v>17.98</v>
      </c>
      <c r="W106" s="14" t="n">
        <v>203.13</v>
      </c>
      <c r="X106" s="14" t="n">
        <v>263.28</v>
      </c>
      <c r="Y106" s="14" t="n">
        <v>60.15</v>
      </c>
      <c r="Z106" s="14" t="n">
        <v>-0.42</v>
      </c>
      <c r="AA106" s="14" t="n">
        <v>0.36</v>
      </c>
      <c r="AB106" s="14" t="n">
        <v>0</v>
      </c>
      <c r="AC106" s="14" t="n">
        <v>0.44</v>
      </c>
      <c r="AD106" s="15" t="n">
        <f aca="false">H106*E106/1000</f>
        <v>0.7245</v>
      </c>
      <c r="AE106" s="15" t="n">
        <f aca="false">I106*E106/1000</f>
        <v>0</v>
      </c>
      <c r="AF106" s="16" t="n">
        <f aca="false">ROUND(S106+T106+U106+V106-W106,2)</f>
        <v>-0.01</v>
      </c>
      <c r="AG106" s="16" t="n">
        <f aca="false">ROUND(X106-W106-Y106,2)</f>
        <v>0</v>
      </c>
    </row>
    <row r="107" customFormat="false" ht="15" hidden="false" customHeight="false" outlineLevel="0" collapsed="false">
      <c r="A107" s="13" t="s">
        <v>217</v>
      </c>
      <c r="B107" s="13" t="s">
        <v>256</v>
      </c>
      <c r="C107" s="13" t="s">
        <v>234</v>
      </c>
      <c r="D107" s="13" t="s">
        <v>231</v>
      </c>
      <c r="E107" s="14" t="n">
        <v>26.17</v>
      </c>
      <c r="F107" s="14" t="n">
        <v>66</v>
      </c>
      <c r="G107" s="14" t="n">
        <v>1.73</v>
      </c>
      <c r="H107" s="14" t="n">
        <v>5</v>
      </c>
      <c r="I107" s="14"/>
      <c r="J107" s="14" t="n">
        <v>65.78</v>
      </c>
      <c r="K107" s="14" t="n">
        <v>147.27</v>
      </c>
      <c r="L107" s="14" t="n">
        <v>2.56</v>
      </c>
      <c r="M107" s="14" t="n">
        <v>19.47</v>
      </c>
      <c r="N107" s="14" t="n">
        <v>3.9</v>
      </c>
      <c r="O107" s="14" t="n">
        <v>0.54</v>
      </c>
      <c r="P107" s="14" t="n">
        <v>1.5</v>
      </c>
      <c r="Q107" s="14"/>
      <c r="R107" s="14" t="n">
        <v>1.4</v>
      </c>
      <c r="S107" s="14" t="n">
        <v>176.64</v>
      </c>
      <c r="T107" s="14" t="n">
        <v>0.9</v>
      </c>
      <c r="U107" s="14" t="n">
        <v>10.86</v>
      </c>
      <c r="V107" s="14" t="n">
        <v>18.47</v>
      </c>
      <c r="W107" s="14" t="n">
        <v>206.87</v>
      </c>
      <c r="X107" s="14" t="n">
        <v>263.28</v>
      </c>
      <c r="Y107" s="14" t="n">
        <v>56.41</v>
      </c>
      <c r="Z107" s="14" t="n">
        <v>0.83</v>
      </c>
      <c r="AA107" s="14" t="n">
        <v>0.07</v>
      </c>
      <c r="AB107" s="14" t="n">
        <v>0</v>
      </c>
      <c r="AC107" s="14" t="n">
        <v>0.07</v>
      </c>
      <c r="AD107" s="15" t="n">
        <f aca="false">H107*E107/1000</f>
        <v>0.13085</v>
      </c>
      <c r="AE107" s="15" t="n">
        <f aca="false">I107*E107/1000</f>
        <v>0</v>
      </c>
      <c r="AF107" s="16" t="n">
        <f aca="false">ROUND(S107+T107+U107+V107-W107,2)</f>
        <v>0</v>
      </c>
      <c r="AG107" s="16" t="n">
        <f aca="false">ROUND(X107-W107-Y107,2)</f>
        <v>0</v>
      </c>
    </row>
    <row r="108" customFormat="false" ht="15" hidden="false" customHeight="false" outlineLevel="0" collapsed="false">
      <c r="A108" s="13" t="s">
        <v>217</v>
      </c>
      <c r="B108" s="13" t="s">
        <v>256</v>
      </c>
      <c r="C108" s="13" t="s">
        <v>234</v>
      </c>
      <c r="D108" s="13" t="s">
        <v>220</v>
      </c>
      <c r="E108" s="14" t="n">
        <v>18.75</v>
      </c>
      <c r="F108" s="14" t="n">
        <v>104</v>
      </c>
      <c r="G108" s="14" t="n">
        <v>1.95</v>
      </c>
      <c r="H108" s="14" t="n">
        <v>2</v>
      </c>
      <c r="I108" s="14"/>
      <c r="J108" s="14" t="n">
        <v>59.61</v>
      </c>
      <c r="K108" s="14" t="n">
        <v>148.15</v>
      </c>
      <c r="L108" s="14" t="n">
        <v>2.82</v>
      </c>
      <c r="M108" s="14" t="n">
        <v>25.08</v>
      </c>
      <c r="N108" s="14" t="n">
        <v>3.9</v>
      </c>
      <c r="O108" s="14" t="n">
        <v>0.45</v>
      </c>
      <c r="P108" s="14" t="n">
        <v>1.5</v>
      </c>
      <c r="Q108" s="14"/>
      <c r="R108" s="14" t="n">
        <v>1.4</v>
      </c>
      <c r="S108" s="14" t="n">
        <v>183.3</v>
      </c>
      <c r="T108" s="14" t="n">
        <v>0.9</v>
      </c>
      <c r="U108" s="14" t="n">
        <v>10.86</v>
      </c>
      <c r="V108" s="14" t="n">
        <v>19.53</v>
      </c>
      <c r="W108" s="14" t="n">
        <v>214.59</v>
      </c>
      <c r="X108" s="14" t="n">
        <v>263.28</v>
      </c>
      <c r="Y108" s="14" t="n">
        <v>48.69</v>
      </c>
      <c r="Z108" s="14" t="n">
        <v>0.91</v>
      </c>
      <c r="AA108" s="14" t="n">
        <v>0.02</v>
      </c>
      <c r="AB108" s="14" t="n">
        <v>0</v>
      </c>
      <c r="AC108" s="14" t="n">
        <v>0.02</v>
      </c>
      <c r="AD108" s="15" t="n">
        <f aca="false">H108*E108/1000</f>
        <v>0.0375</v>
      </c>
      <c r="AE108" s="15" t="n">
        <f aca="false">I108*E108/1000</f>
        <v>0</v>
      </c>
      <c r="AF108" s="16" t="n">
        <f aca="false">ROUND(S108+T108+U108+V108-W108,2)</f>
        <v>0</v>
      </c>
      <c r="AG108" s="16" t="n">
        <f aca="false">ROUND(X108-W108-Y108,2)</f>
        <v>0</v>
      </c>
    </row>
    <row r="109" customFormat="false" ht="15" hidden="false" customHeight="false" outlineLevel="0" collapsed="false">
      <c r="A109" s="13" t="s">
        <v>217</v>
      </c>
      <c r="B109" s="13" t="s">
        <v>256</v>
      </c>
      <c r="C109" s="13" t="s">
        <v>234</v>
      </c>
      <c r="D109" s="13" t="s">
        <v>221</v>
      </c>
      <c r="E109" s="14" t="n">
        <v>25</v>
      </c>
      <c r="F109" s="14" t="n">
        <v>120</v>
      </c>
      <c r="G109" s="14" t="n">
        <v>3</v>
      </c>
      <c r="H109" s="14" t="n">
        <v>4</v>
      </c>
      <c r="I109" s="14"/>
      <c r="J109" s="14" t="n">
        <v>63.85</v>
      </c>
      <c r="K109" s="14" t="n">
        <v>147.53</v>
      </c>
      <c r="L109" s="14" t="n">
        <v>2.63</v>
      </c>
      <c r="M109" s="14" t="n">
        <v>25.51</v>
      </c>
      <c r="N109" s="14" t="n">
        <v>3.9</v>
      </c>
      <c r="O109" s="14" t="n">
        <v>0.45</v>
      </c>
      <c r="P109" s="14" t="n">
        <v>1.5</v>
      </c>
      <c r="Q109" s="14"/>
      <c r="R109" s="14" t="n">
        <v>1.4</v>
      </c>
      <c r="S109" s="14" t="n">
        <v>182.93</v>
      </c>
      <c r="T109" s="14" t="n">
        <v>0.9</v>
      </c>
      <c r="U109" s="14" t="n">
        <v>10.86</v>
      </c>
      <c r="V109" s="14" t="n">
        <v>18.78</v>
      </c>
      <c r="W109" s="14" t="n">
        <v>213.46</v>
      </c>
      <c r="X109" s="14" t="n">
        <v>263.28</v>
      </c>
      <c r="Y109" s="14" t="n">
        <v>49.82</v>
      </c>
      <c r="Z109" s="14" t="n">
        <v>1.38</v>
      </c>
      <c r="AA109" s="14" t="n">
        <v>0.06</v>
      </c>
      <c r="AB109" s="14" t="n">
        <v>0</v>
      </c>
      <c r="AC109" s="14" t="n">
        <v>0.05</v>
      </c>
      <c r="AD109" s="15" t="n">
        <f aca="false">H109*E109/1000</f>
        <v>0.1</v>
      </c>
      <c r="AE109" s="15" t="n">
        <f aca="false">I109*E109/1000</f>
        <v>0</v>
      </c>
      <c r="AF109" s="16" t="n">
        <f aca="false">ROUND(S109+T109+U109+V109-W109,2)</f>
        <v>0.01</v>
      </c>
      <c r="AG109" s="16" t="n">
        <f aca="false">ROUND(X109-W109-Y109,2)</f>
        <v>0</v>
      </c>
    </row>
    <row r="110" customFormat="false" ht="15" hidden="false" customHeight="false" outlineLevel="0" collapsed="false">
      <c r="A110" s="13" t="s">
        <v>217</v>
      </c>
      <c r="B110" s="13" t="s">
        <v>256</v>
      </c>
      <c r="C110" s="13" t="s">
        <v>234</v>
      </c>
      <c r="D110" s="13" t="s">
        <v>222</v>
      </c>
      <c r="E110" s="14" t="n">
        <v>20.7</v>
      </c>
      <c r="F110" s="14" t="n">
        <v>80</v>
      </c>
      <c r="G110" s="14" t="n">
        <v>1.66</v>
      </c>
      <c r="H110" s="14" t="n">
        <v>13</v>
      </c>
      <c r="I110" s="14"/>
      <c r="J110" s="14" t="n">
        <v>59.04</v>
      </c>
      <c r="K110" s="14" t="n">
        <v>148.24</v>
      </c>
      <c r="L110" s="14" t="n">
        <v>2.85</v>
      </c>
      <c r="M110" s="14" t="n">
        <v>23.14</v>
      </c>
      <c r="N110" s="14" t="n">
        <v>3.9</v>
      </c>
      <c r="O110" s="14" t="n">
        <v>0.45</v>
      </c>
      <c r="P110" s="14" t="n">
        <v>1.5</v>
      </c>
      <c r="Q110" s="14"/>
      <c r="R110" s="14" t="n">
        <v>1.4</v>
      </c>
      <c r="S110" s="14" t="n">
        <v>181.48</v>
      </c>
      <c r="T110" s="14" t="n">
        <v>0.9</v>
      </c>
      <c r="U110" s="14" t="n">
        <v>10.86</v>
      </c>
      <c r="V110" s="14" t="n">
        <v>19.64</v>
      </c>
      <c r="W110" s="14" t="n">
        <v>212.88</v>
      </c>
      <c r="X110" s="14" t="n">
        <v>263.28</v>
      </c>
      <c r="Y110" s="14" t="n">
        <v>50.4</v>
      </c>
      <c r="Z110" s="14" t="n">
        <v>0.54</v>
      </c>
      <c r="AA110" s="14" t="n">
        <v>0.16</v>
      </c>
      <c r="AB110" s="14" t="n">
        <v>0</v>
      </c>
      <c r="AC110" s="14" t="n">
        <v>0.14</v>
      </c>
      <c r="AD110" s="15" t="n">
        <f aca="false">H110*E110/1000</f>
        <v>0.2691</v>
      </c>
      <c r="AE110" s="15" t="n">
        <f aca="false">I110*E110/1000</f>
        <v>0</v>
      </c>
      <c r="AF110" s="16" t="n">
        <f aca="false">ROUND(S110+T110+U110+V110-W110,2)</f>
        <v>0</v>
      </c>
      <c r="AG110" s="16" t="n">
        <f aca="false">ROUND(X110-W110-Y110,2)</f>
        <v>0</v>
      </c>
    </row>
    <row r="111" customFormat="false" ht="15" hidden="false" customHeight="false" outlineLevel="0" collapsed="false">
      <c r="A111" s="13" t="s">
        <v>217</v>
      </c>
      <c r="B111" s="13" t="s">
        <v>256</v>
      </c>
      <c r="C111" s="13" t="s">
        <v>234</v>
      </c>
      <c r="D111" s="13" t="s">
        <v>264</v>
      </c>
      <c r="E111" s="14" t="n">
        <v>15.4</v>
      </c>
      <c r="F111" s="14" t="n">
        <v>24</v>
      </c>
      <c r="G111" s="14" t="n">
        <v>0.37</v>
      </c>
      <c r="H111" s="14" t="n">
        <v>20</v>
      </c>
      <c r="I111" s="14"/>
      <c r="J111" s="14" t="n">
        <v>67.5</v>
      </c>
      <c r="K111" s="14" t="n">
        <v>147.06</v>
      </c>
      <c r="L111" s="14" t="n">
        <v>2.49</v>
      </c>
      <c r="M111" s="14" t="n">
        <v>27.75</v>
      </c>
      <c r="N111" s="14" t="n">
        <v>3.9</v>
      </c>
      <c r="O111" s="14" t="n">
        <v>0.54</v>
      </c>
      <c r="P111" s="14" t="n">
        <v>1.5</v>
      </c>
      <c r="Q111" s="14"/>
      <c r="R111" s="14" t="n">
        <v>1.4</v>
      </c>
      <c r="S111" s="14" t="n">
        <v>184.64</v>
      </c>
      <c r="T111" s="14" t="n">
        <v>0.9</v>
      </c>
      <c r="U111" s="14" t="n">
        <v>10.86</v>
      </c>
      <c r="V111" s="14" t="n">
        <v>18.2</v>
      </c>
      <c r="W111" s="14" t="n">
        <v>214.61</v>
      </c>
      <c r="X111" s="14" t="n">
        <v>263.28</v>
      </c>
      <c r="Y111" s="14" t="n">
        <v>48.67</v>
      </c>
      <c r="Z111" s="14" t="n">
        <v>-0.16</v>
      </c>
      <c r="AA111" s="14" t="n">
        <v>0.19</v>
      </c>
      <c r="AB111" s="14" t="n">
        <v>0</v>
      </c>
      <c r="AC111" s="14" t="n">
        <v>0.15</v>
      </c>
      <c r="AD111" s="15" t="n">
        <f aca="false">H111*E111/1000</f>
        <v>0.308</v>
      </c>
      <c r="AE111" s="15" t="n">
        <f aca="false">I111*E111/1000</f>
        <v>0</v>
      </c>
      <c r="AF111" s="16" t="n">
        <f aca="false">ROUND(S111+T111+U111+V111-W111,2)</f>
        <v>-0.01</v>
      </c>
      <c r="AG111" s="16" t="n">
        <f aca="false">ROUND(X111-W111-Y111,2)</f>
        <v>0</v>
      </c>
    </row>
    <row r="112" customFormat="false" ht="15" hidden="false" customHeight="false" outlineLevel="0" collapsed="false">
      <c r="A112" s="13" t="s">
        <v>217</v>
      </c>
      <c r="B112" s="13" t="s">
        <v>256</v>
      </c>
      <c r="C112" s="13" t="s">
        <v>234</v>
      </c>
      <c r="D112" s="13" t="s">
        <v>265</v>
      </c>
      <c r="E112" s="14" t="n">
        <v>17</v>
      </c>
      <c r="F112" s="14" t="n">
        <v>8</v>
      </c>
      <c r="G112" s="14" t="n">
        <v>0.14</v>
      </c>
      <c r="H112" s="14" t="n">
        <v>7</v>
      </c>
      <c r="I112" s="14"/>
      <c r="J112" s="14" t="n">
        <v>62.02</v>
      </c>
      <c r="K112" s="14" t="n">
        <v>147.78</v>
      </c>
      <c r="L112" s="14" t="n">
        <v>2.71</v>
      </c>
      <c r="M112" s="14" t="n">
        <v>24.73</v>
      </c>
      <c r="N112" s="14" t="n">
        <v>3.9</v>
      </c>
      <c r="O112" s="14" t="n">
        <v>0.54</v>
      </c>
      <c r="P112" s="14" t="n">
        <v>1.5</v>
      </c>
      <c r="Q112" s="14"/>
      <c r="R112" s="14" t="n">
        <v>1.4</v>
      </c>
      <c r="S112" s="14" t="n">
        <v>182.57</v>
      </c>
      <c r="T112" s="14" t="n">
        <v>0.9</v>
      </c>
      <c r="U112" s="14" t="n">
        <v>10.86</v>
      </c>
      <c r="V112" s="14" t="n">
        <v>19.09</v>
      </c>
      <c r="W112" s="14" t="n">
        <v>213.42</v>
      </c>
      <c r="X112" s="14" t="n">
        <v>263.28</v>
      </c>
      <c r="Y112" s="14" t="n">
        <v>49.86</v>
      </c>
      <c r="Z112" s="14" t="n">
        <v>-0.06</v>
      </c>
      <c r="AA112" s="14" t="n">
        <v>0.07</v>
      </c>
      <c r="AB112" s="14" t="n">
        <v>0</v>
      </c>
      <c r="AC112" s="14" t="n">
        <v>0.06</v>
      </c>
      <c r="AD112" s="15" t="n">
        <f aca="false">H112*E112/1000</f>
        <v>0.119</v>
      </c>
      <c r="AE112" s="15" t="n">
        <f aca="false">I112*E112/1000</f>
        <v>0</v>
      </c>
      <c r="AF112" s="16" t="n">
        <f aca="false">ROUND(S112+T112+U112+V112-W112,2)</f>
        <v>0</v>
      </c>
      <c r="AG112" s="16" t="n">
        <f aca="false">ROUND(X112-W112-Y112,2)</f>
        <v>0</v>
      </c>
    </row>
    <row r="113" customFormat="false" ht="15" hidden="false" customHeight="false" outlineLevel="0" collapsed="false">
      <c r="A113" s="13" t="s">
        <v>217</v>
      </c>
      <c r="B113" s="13" t="s">
        <v>256</v>
      </c>
      <c r="C113" s="13" t="s">
        <v>234</v>
      </c>
      <c r="D113" s="13" t="s">
        <v>267</v>
      </c>
      <c r="E113" s="14" t="n">
        <v>30.35</v>
      </c>
      <c r="F113" s="14" t="n">
        <v>4</v>
      </c>
      <c r="G113" s="14" t="n">
        <v>0.12</v>
      </c>
      <c r="H113" s="14" t="n">
        <v>1</v>
      </c>
      <c r="I113" s="14"/>
      <c r="J113" s="14" t="n">
        <v>68</v>
      </c>
      <c r="K113" s="14" t="n">
        <v>147</v>
      </c>
      <c r="L113" s="14" t="n">
        <v>2.47</v>
      </c>
      <c r="M113" s="14" t="n">
        <v>19.94</v>
      </c>
      <c r="N113" s="14" t="n">
        <v>3.9</v>
      </c>
      <c r="O113" s="14" t="n">
        <v>0.54</v>
      </c>
      <c r="P113" s="14" t="n">
        <v>1.5</v>
      </c>
      <c r="Q113" s="14"/>
      <c r="R113" s="14" t="n">
        <v>1.4</v>
      </c>
      <c r="S113" s="14" t="n">
        <v>176.75</v>
      </c>
      <c r="T113" s="14" t="n">
        <v>0.9</v>
      </c>
      <c r="U113" s="14" t="n">
        <v>10.86</v>
      </c>
      <c r="V113" s="14" t="n">
        <v>18.13</v>
      </c>
      <c r="W113" s="14" t="n">
        <v>206.64</v>
      </c>
      <c r="X113" s="14" t="n">
        <v>263.28</v>
      </c>
      <c r="Y113" s="14" t="n">
        <v>56.64</v>
      </c>
      <c r="Z113" s="14" t="n">
        <v>0.04</v>
      </c>
      <c r="AA113" s="14" t="n">
        <v>0.02</v>
      </c>
      <c r="AB113" s="14" t="n">
        <v>0</v>
      </c>
      <c r="AC113" s="14" t="n">
        <v>0.02</v>
      </c>
      <c r="AD113" s="15" t="n">
        <f aca="false">H113*E113/1000</f>
        <v>0.03035</v>
      </c>
      <c r="AE113" s="15" t="n">
        <f aca="false">I113*E113/1000</f>
        <v>0</v>
      </c>
      <c r="AF113" s="16" t="n">
        <f aca="false">ROUND(S113+T113+U113+V113-W113,2)</f>
        <v>0</v>
      </c>
      <c r="AG113" s="16" t="n">
        <f aca="false">ROUND(X113-W113-Y113,2)</f>
        <v>0</v>
      </c>
    </row>
    <row r="114" customFormat="false" ht="15" hidden="false" customHeight="false" outlineLevel="0" collapsed="false">
      <c r="A114" s="13" t="s">
        <v>217</v>
      </c>
      <c r="B114" s="13" t="s">
        <v>256</v>
      </c>
      <c r="C114" s="13" t="s">
        <v>234</v>
      </c>
      <c r="D114" s="13" t="s">
        <v>251</v>
      </c>
      <c r="E114" s="14" t="n">
        <v>63</v>
      </c>
      <c r="F114" s="14" t="n">
        <v>30</v>
      </c>
      <c r="G114" s="14" t="n">
        <v>1.89</v>
      </c>
      <c r="H114" s="14" t="n">
        <v>3</v>
      </c>
      <c r="I114" s="14"/>
      <c r="J114" s="14" t="n">
        <v>66.67</v>
      </c>
      <c r="K114" s="14" t="n">
        <v>147.16</v>
      </c>
      <c r="L114" s="14" t="n">
        <v>2.52</v>
      </c>
      <c r="M114" s="14" t="n">
        <v>15.33</v>
      </c>
      <c r="N114" s="14" t="n">
        <v>3.9</v>
      </c>
      <c r="O114" s="14" t="n">
        <v>0.45</v>
      </c>
      <c r="P114" s="14" t="n">
        <v>1.5</v>
      </c>
      <c r="Q114" s="14"/>
      <c r="R114" s="14" t="n">
        <v>1.4</v>
      </c>
      <c r="S114" s="14" t="n">
        <v>172.26</v>
      </c>
      <c r="T114" s="14" t="n">
        <v>0.9</v>
      </c>
      <c r="U114" s="14" t="n">
        <v>10.86</v>
      </c>
      <c r="V114" s="14" t="n">
        <v>18.33</v>
      </c>
      <c r="W114" s="14" t="n">
        <v>202.35</v>
      </c>
      <c r="X114" s="14" t="n">
        <v>263.28</v>
      </c>
      <c r="Y114" s="14" t="n">
        <v>60.93</v>
      </c>
      <c r="Z114" s="14" t="n">
        <v>0.94</v>
      </c>
      <c r="AA114" s="14" t="n">
        <v>0.09</v>
      </c>
      <c r="AB114" s="14" t="n">
        <v>0</v>
      </c>
      <c r="AC114" s="14" t="n">
        <v>0.12</v>
      </c>
      <c r="AD114" s="15" t="n">
        <f aca="false">H114*E114/1000</f>
        <v>0.189</v>
      </c>
      <c r="AE114" s="15" t="n">
        <f aca="false">I114*E114/1000</f>
        <v>0</v>
      </c>
      <c r="AF114" s="16" t="n">
        <f aca="false">ROUND(S114+T114+U114+V114-W114,2)</f>
        <v>0</v>
      </c>
      <c r="AG114" s="16" t="n">
        <f aca="false">ROUND(X114-W114-Y114,2)</f>
        <v>0</v>
      </c>
    </row>
    <row r="115" customFormat="false" ht="15" hidden="false" customHeight="false" outlineLevel="0" collapsed="false">
      <c r="A115" s="13" t="s">
        <v>217</v>
      </c>
      <c r="B115" s="13" t="s">
        <v>256</v>
      </c>
      <c r="C115" s="13" t="s">
        <v>234</v>
      </c>
      <c r="D115" s="13" t="s">
        <v>252</v>
      </c>
      <c r="E115" s="14" t="n">
        <v>47</v>
      </c>
      <c r="F115" s="14" t="n">
        <v>28</v>
      </c>
      <c r="G115" s="14" t="n">
        <v>1.32</v>
      </c>
      <c r="H115" s="14" t="n">
        <v>9</v>
      </c>
      <c r="I115" s="14"/>
      <c r="J115" s="14" t="n">
        <v>68.2</v>
      </c>
      <c r="K115" s="14" t="n">
        <v>146.97</v>
      </c>
      <c r="L115" s="14" t="n">
        <v>2.47</v>
      </c>
      <c r="M115" s="14" t="n">
        <v>14.13</v>
      </c>
      <c r="N115" s="14" t="n">
        <v>3.9</v>
      </c>
      <c r="O115" s="14" t="n">
        <v>0.45</v>
      </c>
      <c r="P115" s="14" t="n">
        <v>1.5</v>
      </c>
      <c r="Q115" s="14"/>
      <c r="R115" s="14" t="n">
        <v>1.4</v>
      </c>
      <c r="S115" s="14" t="n">
        <v>170.82</v>
      </c>
      <c r="T115" s="14" t="n">
        <v>0.9</v>
      </c>
      <c r="U115" s="14" t="n">
        <v>10.86</v>
      </c>
      <c r="V115" s="14" t="n">
        <v>18.1</v>
      </c>
      <c r="W115" s="14" t="n">
        <v>200.69</v>
      </c>
      <c r="X115" s="14" t="n">
        <v>263.28</v>
      </c>
      <c r="Y115" s="14" t="n">
        <v>62.59</v>
      </c>
      <c r="Z115" s="14" t="n">
        <v>0.36</v>
      </c>
      <c r="AA115" s="14" t="n">
        <v>0.2</v>
      </c>
      <c r="AB115" s="14" t="n">
        <v>0</v>
      </c>
      <c r="AC115" s="14" t="n">
        <v>0.26</v>
      </c>
      <c r="AD115" s="15" t="n">
        <f aca="false">H115*E115/1000</f>
        <v>0.423</v>
      </c>
      <c r="AE115" s="15" t="n">
        <f aca="false">I115*E115/1000</f>
        <v>0</v>
      </c>
      <c r="AF115" s="16" t="n">
        <f aca="false">ROUND(S115+T115+U115+V115-W115,2)</f>
        <v>-0.01</v>
      </c>
      <c r="AG115" s="16" t="n">
        <f aca="false">ROUND(X115-W115-Y115,2)</f>
        <v>0</v>
      </c>
    </row>
    <row r="116" customFormat="false" ht="15" hidden="false" customHeight="false" outlineLevel="0" collapsed="false">
      <c r="A116" s="13" t="s">
        <v>217</v>
      </c>
      <c r="B116" s="13" t="s">
        <v>256</v>
      </c>
      <c r="C116" s="13" t="s">
        <v>234</v>
      </c>
      <c r="D116" s="13" t="s">
        <v>227</v>
      </c>
      <c r="E116" s="14" t="n">
        <v>18</v>
      </c>
      <c r="F116" s="14" t="n">
        <v>1</v>
      </c>
      <c r="G116" s="14" t="n">
        <v>0.02</v>
      </c>
      <c r="H116" s="14"/>
      <c r="I116" s="14"/>
      <c r="J116" s="14" t="n">
        <v>64.17</v>
      </c>
      <c r="K116" s="14" t="n">
        <v>147.48</v>
      </c>
      <c r="L116" s="14" t="n">
        <v>2.62</v>
      </c>
      <c r="M116" s="14" t="n">
        <v>20.91</v>
      </c>
      <c r="N116" s="14" t="n">
        <v>3.9</v>
      </c>
      <c r="O116" s="14" t="n">
        <v>0.45</v>
      </c>
      <c r="P116" s="14" t="n">
        <v>1.5</v>
      </c>
      <c r="Q116" s="14"/>
      <c r="R116" s="14" t="n">
        <v>1.4</v>
      </c>
      <c r="S116" s="14" t="n">
        <v>178.27</v>
      </c>
      <c r="T116" s="14" t="n">
        <v>0.9</v>
      </c>
      <c r="U116" s="14" t="n">
        <v>10.86</v>
      </c>
      <c r="V116" s="14" t="n">
        <v>18.72</v>
      </c>
      <c r="W116" s="14" t="n">
        <v>208.76</v>
      </c>
      <c r="X116" s="14" t="n">
        <v>263.28</v>
      </c>
      <c r="Y116" s="14" t="n">
        <v>54.52</v>
      </c>
      <c r="Z116" s="14" t="n">
        <v>0.01</v>
      </c>
      <c r="AA116" s="14" t="n">
        <v>0</v>
      </c>
      <c r="AB116" s="14" t="n">
        <v>0</v>
      </c>
      <c r="AC116" s="14" t="n">
        <v>0</v>
      </c>
      <c r="AD116" s="15" t="n">
        <f aca="false">H116*E116/1000</f>
        <v>0</v>
      </c>
      <c r="AE116" s="15" t="n">
        <f aca="false">I116*E116/1000</f>
        <v>0</v>
      </c>
      <c r="AF116" s="16" t="n">
        <f aca="false">ROUND(S116+T116+U116+V116-W116,2)</f>
        <v>-0.01</v>
      </c>
      <c r="AG116" s="16" t="n">
        <f aca="false">ROUND(X116-W116-Y116,2)</f>
        <v>0</v>
      </c>
    </row>
    <row r="117" customFormat="false" ht="15" hidden="false" customHeight="false" outlineLevel="0" collapsed="false">
      <c r="A117" s="13" t="s">
        <v>217</v>
      </c>
      <c r="B117" s="13" t="s">
        <v>256</v>
      </c>
      <c r="C117" s="13" t="s">
        <v>234</v>
      </c>
      <c r="D117" s="13" t="s">
        <v>257</v>
      </c>
      <c r="E117" s="14" t="n">
        <v>46.5</v>
      </c>
      <c r="F117" s="14" t="n">
        <v>20</v>
      </c>
      <c r="G117" s="14" t="n">
        <v>0.93</v>
      </c>
      <c r="H117" s="14"/>
      <c r="I117" s="14"/>
      <c r="J117" s="14" t="n">
        <v>67.23</v>
      </c>
      <c r="K117" s="14" t="n">
        <v>147.09</v>
      </c>
      <c r="L117" s="14" t="n">
        <v>2.5</v>
      </c>
      <c r="M117" s="14" t="n">
        <v>15.85</v>
      </c>
      <c r="N117" s="14" t="n">
        <v>3.9</v>
      </c>
      <c r="O117" s="14" t="n">
        <v>0.45</v>
      </c>
      <c r="P117" s="14" t="n">
        <v>1.5</v>
      </c>
      <c r="Q117" s="14"/>
      <c r="R117" s="14" t="n">
        <v>1.4</v>
      </c>
      <c r="S117" s="14" t="n">
        <v>172.69</v>
      </c>
      <c r="T117" s="14" t="n">
        <v>0.9</v>
      </c>
      <c r="U117" s="14" t="n">
        <v>10.86</v>
      </c>
      <c r="V117" s="14" t="n">
        <v>18.24</v>
      </c>
      <c r="W117" s="14" t="n">
        <v>202.7</v>
      </c>
      <c r="X117" s="14" t="n">
        <v>263.28</v>
      </c>
      <c r="Y117" s="14" t="n">
        <v>60.58</v>
      </c>
      <c r="Z117" s="14" t="n">
        <v>0.56</v>
      </c>
      <c r="AA117" s="14" t="n">
        <v>0</v>
      </c>
      <c r="AB117" s="14" t="n">
        <v>0</v>
      </c>
      <c r="AC117" s="14" t="n">
        <v>0</v>
      </c>
      <c r="AD117" s="15" t="n">
        <f aca="false">H117*E117/1000</f>
        <v>0</v>
      </c>
      <c r="AE117" s="15" t="n">
        <f aca="false">I117*E117/1000</f>
        <v>0</v>
      </c>
      <c r="AF117" s="16" t="n">
        <f aca="false">ROUND(S117+T117+U117+V117-W117,2)</f>
        <v>-0.01</v>
      </c>
      <c r="AG117" s="16" t="n">
        <f aca="false">ROUND(X117-W117-Y117,2)</f>
        <v>0</v>
      </c>
    </row>
    <row r="118" customFormat="false" ht="15" hidden="false" customHeight="false" outlineLevel="0" collapsed="false">
      <c r="A118" s="13" t="s">
        <v>217</v>
      </c>
      <c r="B118" s="13" t="s">
        <v>256</v>
      </c>
      <c r="C118" s="13" t="s">
        <v>234</v>
      </c>
      <c r="D118" s="13" t="s">
        <v>258</v>
      </c>
      <c r="E118" s="14" t="n">
        <v>46.5</v>
      </c>
      <c r="F118" s="14" t="n">
        <v>20</v>
      </c>
      <c r="G118" s="14" t="n">
        <v>0.93</v>
      </c>
      <c r="H118" s="14"/>
      <c r="I118" s="14"/>
      <c r="J118" s="14" t="n">
        <v>67.23</v>
      </c>
      <c r="K118" s="14" t="n">
        <v>147.09</v>
      </c>
      <c r="L118" s="14" t="n">
        <v>2.5</v>
      </c>
      <c r="M118" s="14" t="n">
        <v>15.85</v>
      </c>
      <c r="N118" s="14" t="n">
        <v>3.9</v>
      </c>
      <c r="O118" s="14" t="n">
        <v>0.45</v>
      </c>
      <c r="P118" s="14" t="n">
        <v>1.5</v>
      </c>
      <c r="Q118" s="14"/>
      <c r="R118" s="14" t="n">
        <v>1.4</v>
      </c>
      <c r="S118" s="14" t="n">
        <v>172.69</v>
      </c>
      <c r="T118" s="14" t="n">
        <v>0.9</v>
      </c>
      <c r="U118" s="14" t="n">
        <v>10.86</v>
      </c>
      <c r="V118" s="14" t="n">
        <v>18.24</v>
      </c>
      <c r="W118" s="14" t="n">
        <v>202.7</v>
      </c>
      <c r="X118" s="14" t="n">
        <v>263.28</v>
      </c>
      <c r="Y118" s="14" t="n">
        <v>60.58</v>
      </c>
      <c r="Z118" s="14" t="n">
        <v>0.56</v>
      </c>
      <c r="AA118" s="14" t="n">
        <v>0</v>
      </c>
      <c r="AB118" s="14" t="n">
        <v>0</v>
      </c>
      <c r="AC118" s="14" t="n">
        <v>0</v>
      </c>
      <c r="AD118" s="15" t="n">
        <f aca="false">H118*E118/1000</f>
        <v>0</v>
      </c>
      <c r="AE118" s="15" t="n">
        <f aca="false">I118*E118/1000</f>
        <v>0</v>
      </c>
      <c r="AF118" s="16" t="n">
        <f aca="false">ROUND(S118+T118+U118+V118-W118,2)</f>
        <v>-0.01</v>
      </c>
      <c r="AG118" s="16" t="n">
        <f aca="false">ROUND(X118-W118-Y118,2)</f>
        <v>0</v>
      </c>
    </row>
    <row r="119" customFormat="false" ht="15" hidden="false" customHeight="false" outlineLevel="0" collapsed="false">
      <c r="A119" s="13" t="s">
        <v>217</v>
      </c>
      <c r="B119" s="13" t="s">
        <v>256</v>
      </c>
      <c r="C119" s="13" t="s">
        <v>234</v>
      </c>
      <c r="D119" s="13" t="s">
        <v>223</v>
      </c>
      <c r="E119" s="14" t="n">
        <v>29.7</v>
      </c>
      <c r="F119" s="14" t="n">
        <v>42</v>
      </c>
      <c r="G119" s="14" t="n">
        <v>1.25</v>
      </c>
      <c r="H119" s="14"/>
      <c r="I119" s="14"/>
      <c r="J119" s="14" t="n">
        <v>60.87</v>
      </c>
      <c r="K119" s="14" t="n">
        <v>147.95</v>
      </c>
      <c r="L119" s="14" t="n">
        <v>2.76</v>
      </c>
      <c r="M119" s="14" t="n">
        <v>20.69</v>
      </c>
      <c r="N119" s="14" t="n">
        <v>3.9</v>
      </c>
      <c r="O119" s="14" t="n">
        <v>0.45</v>
      </c>
      <c r="P119" s="14" t="n">
        <v>1.5</v>
      </c>
      <c r="Q119" s="14"/>
      <c r="R119" s="14" t="n">
        <v>1.4</v>
      </c>
      <c r="S119" s="14" t="n">
        <v>178.65</v>
      </c>
      <c r="T119" s="14" t="n">
        <v>0.9</v>
      </c>
      <c r="U119" s="14" t="n">
        <v>10.86</v>
      </c>
      <c r="V119" s="14" t="n">
        <v>19.29</v>
      </c>
      <c r="W119" s="14" t="n">
        <v>209.71</v>
      </c>
      <c r="X119" s="14" t="n">
        <v>263.28</v>
      </c>
      <c r="Y119" s="14" t="n">
        <v>53.57</v>
      </c>
      <c r="Z119" s="14" t="n">
        <v>0.67</v>
      </c>
      <c r="AA119" s="14" t="n">
        <v>0</v>
      </c>
      <c r="AB119" s="14" t="n">
        <v>0</v>
      </c>
      <c r="AC119" s="14" t="n">
        <v>0</v>
      </c>
      <c r="AD119" s="15" t="n">
        <f aca="false">H119*E119/1000</f>
        <v>0</v>
      </c>
      <c r="AE119" s="15" t="n">
        <f aca="false">I119*E119/1000</f>
        <v>0</v>
      </c>
      <c r="AF119" s="16" t="n">
        <f aca="false">ROUND(S119+T119+U119+V119-W119,2)</f>
        <v>-0.01</v>
      </c>
      <c r="AG119" s="16" t="n">
        <f aca="false">ROUND(X119-W119-Y119,2)</f>
        <v>0</v>
      </c>
    </row>
    <row r="120" customFormat="false" ht="15" hidden="false" customHeight="false" outlineLevel="0" collapsed="false">
      <c r="A120" s="13" t="s">
        <v>217</v>
      </c>
      <c r="B120" s="13" t="s">
        <v>256</v>
      </c>
      <c r="C120" s="13" t="s">
        <v>234</v>
      </c>
      <c r="D120" s="13" t="s">
        <v>228</v>
      </c>
      <c r="E120" s="14" t="n">
        <v>28</v>
      </c>
      <c r="F120" s="14" t="n">
        <v>1</v>
      </c>
      <c r="G120" s="14" t="n">
        <v>0.03</v>
      </c>
      <c r="H120" s="14"/>
      <c r="I120" s="14"/>
      <c r="J120" s="14" t="n">
        <v>68</v>
      </c>
      <c r="K120" s="14" t="n">
        <v>147</v>
      </c>
      <c r="L120" s="14" t="n">
        <v>2.47</v>
      </c>
      <c r="M120" s="14" t="n">
        <v>22.29</v>
      </c>
      <c r="N120" s="14" t="n">
        <v>3.9</v>
      </c>
      <c r="O120" s="14" t="n">
        <v>0.45</v>
      </c>
      <c r="P120" s="14" t="n">
        <v>1.5</v>
      </c>
      <c r="Q120" s="14"/>
      <c r="R120" s="14" t="n">
        <v>1.4</v>
      </c>
      <c r="S120" s="14" t="n">
        <v>179.01</v>
      </c>
      <c r="T120" s="14" t="n">
        <v>0.9</v>
      </c>
      <c r="U120" s="14" t="n">
        <v>10.86</v>
      </c>
      <c r="V120" s="14" t="n">
        <v>18.13</v>
      </c>
      <c r="W120" s="14" t="n">
        <v>208.91</v>
      </c>
      <c r="X120" s="14" t="n">
        <v>263.28</v>
      </c>
      <c r="Y120" s="14" t="n">
        <v>54.37</v>
      </c>
      <c r="Z120" s="14" t="n">
        <v>0.02</v>
      </c>
      <c r="AA120" s="14" t="n">
        <v>0</v>
      </c>
      <c r="AB120" s="14" t="n">
        <v>0</v>
      </c>
      <c r="AC120" s="14" t="n">
        <v>0</v>
      </c>
      <c r="AD120" s="15" t="n">
        <f aca="false">H120*E120/1000</f>
        <v>0</v>
      </c>
      <c r="AE120" s="15" t="n">
        <f aca="false">I120*E120/1000</f>
        <v>0</v>
      </c>
      <c r="AF120" s="16" t="n">
        <f aca="false">ROUND(S120+T120+U120+V120-W120,2)</f>
        <v>-0.01</v>
      </c>
      <c r="AG120" s="16" t="n">
        <f aca="false">ROUND(X120-W120-Y120,2)</f>
        <v>0</v>
      </c>
    </row>
    <row r="121" customFormat="false" ht="15" hidden="false" customHeight="false" outlineLevel="0" collapsed="false">
      <c r="A121" s="13" t="s">
        <v>217</v>
      </c>
      <c r="B121" s="13" t="s">
        <v>256</v>
      </c>
      <c r="C121" s="13" t="s">
        <v>234</v>
      </c>
      <c r="D121" s="13" t="s">
        <v>224</v>
      </c>
      <c r="E121" s="14" t="n">
        <v>39.26</v>
      </c>
      <c r="F121" s="14" t="n">
        <v>212</v>
      </c>
      <c r="G121" s="14" t="n">
        <v>8.32</v>
      </c>
      <c r="H121" s="14" t="n">
        <v>3</v>
      </c>
      <c r="I121" s="14"/>
      <c r="J121" s="14" t="n">
        <v>64.15</v>
      </c>
      <c r="K121" s="14" t="n">
        <v>147.49</v>
      </c>
      <c r="L121" s="14" t="n">
        <v>2.62</v>
      </c>
      <c r="M121" s="14" t="n">
        <v>17.82</v>
      </c>
      <c r="N121" s="14" t="n">
        <v>3.9</v>
      </c>
      <c r="O121" s="14" t="n">
        <v>0.54</v>
      </c>
      <c r="P121" s="14" t="n">
        <v>1.5</v>
      </c>
      <c r="Q121" s="14"/>
      <c r="R121" s="14" t="n">
        <v>1.4</v>
      </c>
      <c r="S121" s="14" t="n">
        <v>175.27</v>
      </c>
      <c r="T121" s="14" t="n">
        <v>0.9</v>
      </c>
      <c r="U121" s="14" t="n">
        <v>10.86</v>
      </c>
      <c r="V121" s="14" t="n">
        <v>18.73</v>
      </c>
      <c r="W121" s="14" t="n">
        <v>205.76</v>
      </c>
      <c r="X121" s="14" t="n">
        <v>263.28</v>
      </c>
      <c r="Y121" s="14" t="n">
        <v>57.52</v>
      </c>
      <c r="Z121" s="14" t="n">
        <v>4.66</v>
      </c>
      <c r="AA121" s="14" t="n">
        <v>0.06</v>
      </c>
      <c r="AB121" s="14" t="n">
        <v>0</v>
      </c>
      <c r="AC121" s="14" t="n">
        <v>0.07</v>
      </c>
      <c r="AD121" s="15" t="n">
        <f aca="false">H121*E121/1000</f>
        <v>0.11778</v>
      </c>
      <c r="AE121" s="15" t="n">
        <f aca="false">I121*E121/1000</f>
        <v>0</v>
      </c>
      <c r="AF121" s="16" t="n">
        <f aca="false">ROUND(S121+T121+U121+V121-W121,2)</f>
        <v>0</v>
      </c>
      <c r="AG121" s="16" t="n">
        <f aca="false">ROUND(X121-W121-Y121,2)</f>
        <v>0</v>
      </c>
    </row>
    <row r="122" customFormat="false" ht="15" hidden="false" customHeight="false" outlineLevel="0" collapsed="false">
      <c r="A122" s="13" t="s">
        <v>217</v>
      </c>
      <c r="B122" s="13" t="s">
        <v>256</v>
      </c>
      <c r="C122" s="13" t="s">
        <v>234</v>
      </c>
      <c r="D122" s="13" t="s">
        <v>225</v>
      </c>
      <c r="E122" s="14" t="n">
        <v>28.92</v>
      </c>
      <c r="F122" s="14" t="n">
        <v>32</v>
      </c>
      <c r="G122" s="14" t="n">
        <v>0.93</v>
      </c>
      <c r="H122" s="14"/>
      <c r="I122" s="14"/>
      <c r="J122" s="14" t="n">
        <v>63.01</v>
      </c>
      <c r="K122" s="14" t="n">
        <v>147.64</v>
      </c>
      <c r="L122" s="14" t="n">
        <v>2.67</v>
      </c>
      <c r="M122" s="14" t="n">
        <v>21.56</v>
      </c>
      <c r="N122" s="14" t="n">
        <v>3.9</v>
      </c>
      <c r="O122" s="14" t="n">
        <v>0.45</v>
      </c>
      <c r="P122" s="14" t="n">
        <v>1.5</v>
      </c>
      <c r="Q122" s="14"/>
      <c r="R122" s="14" t="n">
        <v>1.4</v>
      </c>
      <c r="S122" s="14" t="n">
        <v>179.12</v>
      </c>
      <c r="T122" s="14" t="n">
        <v>0.9</v>
      </c>
      <c r="U122" s="14" t="n">
        <v>10.86</v>
      </c>
      <c r="V122" s="14" t="n">
        <v>18.92</v>
      </c>
      <c r="W122" s="14" t="n">
        <v>209.8</v>
      </c>
      <c r="X122" s="14" t="n">
        <v>263.28</v>
      </c>
      <c r="Y122" s="14" t="n">
        <v>53.48</v>
      </c>
      <c r="Z122" s="14" t="n">
        <v>0.49</v>
      </c>
      <c r="AA122" s="14" t="n">
        <v>0</v>
      </c>
      <c r="AB122" s="14" t="n">
        <v>0</v>
      </c>
      <c r="AC122" s="14" t="n">
        <v>0</v>
      </c>
      <c r="AD122" s="15" t="n">
        <f aca="false">H122*E122/1000</f>
        <v>0</v>
      </c>
      <c r="AE122" s="15" t="n">
        <f aca="false">I122*E122/1000</f>
        <v>0</v>
      </c>
      <c r="AF122" s="16" t="n">
        <f aca="false">ROUND(S122+T122+U122+V122-W122,2)</f>
        <v>0</v>
      </c>
      <c r="AG122" s="16" t="n">
        <f aca="false">ROUND(X122-W122-Y122,2)</f>
        <v>0</v>
      </c>
    </row>
    <row r="123" customFormat="false" ht="15" hidden="false" customHeight="false" outlineLevel="0" collapsed="false">
      <c r="A123" s="13" t="s">
        <v>217</v>
      </c>
      <c r="B123" s="13" t="s">
        <v>256</v>
      </c>
      <c r="C123" s="13" t="s">
        <v>268</v>
      </c>
      <c r="D123" s="13" t="s">
        <v>257</v>
      </c>
      <c r="E123" s="14" t="n">
        <v>46.5</v>
      </c>
      <c r="F123" s="14" t="n">
        <v>184</v>
      </c>
      <c r="G123" s="14" t="n">
        <v>8.56</v>
      </c>
      <c r="H123" s="14" t="n">
        <v>4</v>
      </c>
      <c r="I123" s="14"/>
      <c r="J123" s="14" t="n">
        <v>67.23</v>
      </c>
      <c r="K123" s="14" t="n">
        <v>150.76</v>
      </c>
      <c r="L123" s="14" t="n">
        <v>3.69</v>
      </c>
      <c r="M123" s="14" t="n">
        <v>15.85</v>
      </c>
      <c r="N123" s="14" t="n">
        <v>3.9</v>
      </c>
      <c r="O123" s="14" t="n">
        <v>0.45</v>
      </c>
      <c r="P123" s="14" t="n">
        <v>1.5</v>
      </c>
      <c r="Q123" s="14"/>
      <c r="R123" s="14" t="n">
        <v>1.4</v>
      </c>
      <c r="S123" s="14" t="n">
        <v>177.54</v>
      </c>
      <c r="T123" s="14" t="n">
        <v>0.9</v>
      </c>
      <c r="U123" s="14" t="n">
        <v>10.86</v>
      </c>
      <c r="V123" s="14" t="n">
        <v>18.5</v>
      </c>
      <c r="W123" s="14" t="n">
        <v>207.81</v>
      </c>
      <c r="X123" s="14" t="n">
        <v>250.27</v>
      </c>
      <c r="Y123" s="14" t="n">
        <v>42.46</v>
      </c>
      <c r="Z123" s="14" t="n">
        <v>3.46</v>
      </c>
      <c r="AA123" s="14" t="n">
        <v>0.09</v>
      </c>
      <c r="AB123" s="14" t="n">
        <v>0</v>
      </c>
      <c r="AC123" s="14" t="n">
        <v>0.08</v>
      </c>
      <c r="AD123" s="15" t="n">
        <f aca="false">H123*E123/1000</f>
        <v>0.186</v>
      </c>
      <c r="AE123" s="15" t="n">
        <f aca="false">I123*E123/1000</f>
        <v>0</v>
      </c>
      <c r="AF123" s="16" t="n">
        <f aca="false">ROUND(S123+T123+U123+V123-W123,2)</f>
        <v>-0.01</v>
      </c>
      <c r="AG123" s="16" t="n">
        <f aca="false">ROUND(X123-W123-Y123,2)</f>
        <v>0</v>
      </c>
    </row>
    <row r="124" customFormat="false" ht="15" hidden="false" customHeight="false" outlineLevel="0" collapsed="false">
      <c r="A124" s="13" t="s">
        <v>217</v>
      </c>
      <c r="B124" s="13" t="s">
        <v>256</v>
      </c>
      <c r="C124" s="13" t="s">
        <v>268</v>
      </c>
      <c r="D124" s="13" t="s">
        <v>258</v>
      </c>
      <c r="E124" s="14" t="n">
        <v>46.5</v>
      </c>
      <c r="F124" s="14" t="n">
        <v>188</v>
      </c>
      <c r="G124" s="14" t="n">
        <v>8.74</v>
      </c>
      <c r="H124" s="14" t="n">
        <v>3</v>
      </c>
      <c r="I124" s="14" t="n">
        <v>1</v>
      </c>
      <c r="J124" s="14" t="n">
        <v>67.23</v>
      </c>
      <c r="K124" s="14" t="n">
        <v>150.76</v>
      </c>
      <c r="L124" s="14" t="n">
        <v>3.69</v>
      </c>
      <c r="M124" s="14" t="n">
        <v>15.85</v>
      </c>
      <c r="N124" s="14" t="n">
        <v>3.9</v>
      </c>
      <c r="O124" s="14" t="n">
        <v>0.45</v>
      </c>
      <c r="P124" s="14" t="n">
        <v>1.5</v>
      </c>
      <c r="Q124" s="14"/>
      <c r="R124" s="14" t="n">
        <v>1.4</v>
      </c>
      <c r="S124" s="14" t="n">
        <v>177.54</v>
      </c>
      <c r="T124" s="14" t="n">
        <v>0.9</v>
      </c>
      <c r="U124" s="14" t="n">
        <v>10.86</v>
      </c>
      <c r="V124" s="14" t="n">
        <v>18.5</v>
      </c>
      <c r="W124" s="14" t="n">
        <v>207.81</v>
      </c>
      <c r="X124" s="14" t="n">
        <v>250.27</v>
      </c>
      <c r="Y124" s="14" t="n">
        <v>42.46</v>
      </c>
      <c r="Z124" s="14" t="n">
        <v>3.53</v>
      </c>
      <c r="AA124" s="14" t="n">
        <v>0.07</v>
      </c>
      <c r="AB124" s="14" t="n">
        <v>0.03</v>
      </c>
      <c r="AC124" s="14" t="n">
        <v>0.08</v>
      </c>
      <c r="AD124" s="15" t="n">
        <f aca="false">H124*E124/1000</f>
        <v>0.1395</v>
      </c>
      <c r="AE124" s="15" t="n">
        <f aca="false">I124*E124/1000</f>
        <v>0.0465</v>
      </c>
      <c r="AF124" s="16" t="n">
        <f aca="false">ROUND(S124+T124+U124+V124-W124,2)</f>
        <v>-0.01</v>
      </c>
      <c r="AG124" s="16" t="n">
        <f aca="false">ROUND(X124-W124-Y124,2)</f>
        <v>0</v>
      </c>
    </row>
    <row r="125" customFormat="false" ht="15" hidden="false" customHeight="false" outlineLevel="0" collapsed="false">
      <c r="A125" s="13" t="s">
        <v>217</v>
      </c>
      <c r="B125" s="13" t="s">
        <v>256</v>
      </c>
      <c r="C125" s="13" t="s">
        <v>269</v>
      </c>
      <c r="D125" s="13" t="s">
        <v>230</v>
      </c>
      <c r="E125" s="14" t="n">
        <v>34.5</v>
      </c>
      <c r="F125" s="14" t="n">
        <v>168</v>
      </c>
      <c r="G125" s="14" t="n">
        <v>5.8</v>
      </c>
      <c r="H125" s="14" t="n">
        <v>1</v>
      </c>
      <c r="I125" s="14"/>
      <c r="J125" s="14" t="n">
        <v>69.03</v>
      </c>
      <c r="K125" s="14" t="n">
        <v>136.82</v>
      </c>
      <c r="L125" s="14" t="n">
        <v>1.65</v>
      </c>
      <c r="M125" s="14" t="n">
        <v>15.3</v>
      </c>
      <c r="N125" s="14" t="n">
        <v>3.9</v>
      </c>
      <c r="O125" s="14" t="n">
        <v>0.54</v>
      </c>
      <c r="P125" s="14" t="n">
        <v>1.5</v>
      </c>
      <c r="Q125" s="14"/>
      <c r="R125" s="14" t="n">
        <v>1.4</v>
      </c>
      <c r="S125" s="14" t="n">
        <v>161.11</v>
      </c>
      <c r="T125" s="14" t="n">
        <v>0.9</v>
      </c>
      <c r="U125" s="14" t="n">
        <v>10.86</v>
      </c>
      <c r="V125" s="14" t="n">
        <v>18.24</v>
      </c>
      <c r="W125" s="14" t="n">
        <v>191.11</v>
      </c>
      <c r="X125" s="14" t="n">
        <v>244.91</v>
      </c>
      <c r="Y125" s="14" t="n">
        <v>53.8</v>
      </c>
      <c r="Z125" s="14" t="n">
        <v>3.08</v>
      </c>
      <c r="AA125" s="14" t="n">
        <v>0.02</v>
      </c>
      <c r="AB125" s="14" t="n">
        <v>0</v>
      </c>
      <c r="AC125" s="14" t="n">
        <v>0.02</v>
      </c>
      <c r="AD125" s="15" t="n">
        <f aca="false">H125*E125/1000</f>
        <v>0.0345</v>
      </c>
      <c r="AE125" s="15" t="n">
        <f aca="false">I125*E125/1000</f>
        <v>0</v>
      </c>
      <c r="AF125" s="16" t="n">
        <f aca="false">ROUND(S125+T125+U125+V125-W125,2)</f>
        <v>0</v>
      </c>
      <c r="AG125" s="16" t="n">
        <f aca="false">ROUND(X125-W125-Y125,2)</f>
        <v>0</v>
      </c>
    </row>
    <row r="126" customFormat="false" ht="15" hidden="false" customHeight="false" outlineLevel="0" collapsed="false">
      <c r="A126" s="13" t="s">
        <v>217</v>
      </c>
      <c r="B126" s="13" t="s">
        <v>256</v>
      </c>
      <c r="C126" s="13" t="s">
        <v>269</v>
      </c>
      <c r="D126" s="13" t="s">
        <v>243</v>
      </c>
      <c r="E126" s="14" t="n">
        <v>37.78</v>
      </c>
      <c r="F126" s="14" t="n">
        <v>280</v>
      </c>
      <c r="G126" s="14" t="n">
        <v>10.58</v>
      </c>
      <c r="H126" s="14" t="n">
        <v>4</v>
      </c>
      <c r="I126" s="14" t="n">
        <v>1</v>
      </c>
      <c r="J126" s="14" t="n">
        <v>64.1</v>
      </c>
      <c r="K126" s="14" t="n">
        <v>137.4</v>
      </c>
      <c r="L126" s="14" t="n">
        <v>1.78</v>
      </c>
      <c r="M126" s="14" t="n">
        <v>19.03</v>
      </c>
      <c r="N126" s="14" t="n">
        <v>3.9</v>
      </c>
      <c r="O126" s="14" t="n">
        <v>0.54</v>
      </c>
      <c r="P126" s="14" t="n">
        <v>1.5</v>
      </c>
      <c r="Q126" s="14"/>
      <c r="R126" s="14" t="n">
        <v>1.1</v>
      </c>
      <c r="S126" s="14" t="n">
        <v>165.25</v>
      </c>
      <c r="T126" s="14" t="n">
        <v>0.9</v>
      </c>
      <c r="U126" s="14" t="n">
        <v>10.86</v>
      </c>
      <c r="V126" s="14" t="n">
        <v>19</v>
      </c>
      <c r="W126" s="14" t="n">
        <v>196.01</v>
      </c>
      <c r="X126" s="14" t="n">
        <v>244.91</v>
      </c>
      <c r="Y126" s="14" t="n">
        <v>48.9</v>
      </c>
      <c r="Z126" s="14" t="n">
        <v>4.98</v>
      </c>
      <c r="AA126" s="14" t="n">
        <v>0.08</v>
      </c>
      <c r="AB126" s="14" t="n">
        <v>0.02</v>
      </c>
      <c r="AC126" s="14" t="n">
        <v>0.09</v>
      </c>
      <c r="AD126" s="15" t="n">
        <f aca="false">H126*E126/1000</f>
        <v>0.15112</v>
      </c>
      <c r="AE126" s="15" t="n">
        <f aca="false">I126*E126/1000</f>
        <v>0.03778</v>
      </c>
      <c r="AF126" s="16" t="n">
        <f aca="false">ROUND(S126+T126+U126+V126-W126,2)</f>
        <v>0</v>
      </c>
      <c r="AG126" s="16" t="n">
        <f aca="false">ROUND(X126-W126-Y126,2)</f>
        <v>0</v>
      </c>
    </row>
    <row r="127" customFormat="false" ht="15" hidden="false" customHeight="false" outlineLevel="0" collapsed="false">
      <c r="A127" s="13" t="s">
        <v>217</v>
      </c>
      <c r="B127" s="13" t="s">
        <v>256</v>
      </c>
      <c r="C127" s="13" t="s">
        <v>269</v>
      </c>
      <c r="D127" s="13" t="s">
        <v>270</v>
      </c>
      <c r="E127" s="14" t="n">
        <v>485</v>
      </c>
      <c r="F127" s="14" t="n">
        <v>13</v>
      </c>
      <c r="G127" s="14" t="n">
        <v>6.31</v>
      </c>
      <c r="H127" s="14"/>
      <c r="I127" s="14"/>
      <c r="J127" s="14" t="n">
        <v>73.14</v>
      </c>
      <c r="K127" s="14" t="n">
        <v>136.4</v>
      </c>
      <c r="L127" s="14" t="n">
        <v>1.56</v>
      </c>
      <c r="M127" s="14" t="n">
        <v>15.29</v>
      </c>
      <c r="N127" s="14" t="n">
        <v>3.9</v>
      </c>
      <c r="O127" s="14" t="n">
        <v>0.45</v>
      </c>
      <c r="P127" s="14" t="n">
        <v>1.5</v>
      </c>
      <c r="Q127" s="14"/>
      <c r="R127" s="14" t="n">
        <v>1.1</v>
      </c>
      <c r="S127" s="14" t="n">
        <v>160.2</v>
      </c>
      <c r="T127" s="14" t="n">
        <v>0.9</v>
      </c>
      <c r="U127" s="14" t="n">
        <v>10.86</v>
      </c>
      <c r="V127" s="14" t="n">
        <v>17.68</v>
      </c>
      <c r="W127" s="14" t="n">
        <v>189.65</v>
      </c>
      <c r="X127" s="14" t="n">
        <v>240.91</v>
      </c>
      <c r="Y127" s="14" t="n">
        <v>51.26</v>
      </c>
      <c r="Z127" s="14" t="n">
        <v>3.23</v>
      </c>
      <c r="AA127" s="14" t="n">
        <v>0</v>
      </c>
      <c r="AB127" s="14" t="n">
        <v>0</v>
      </c>
      <c r="AC127" s="14" t="n">
        <v>0</v>
      </c>
      <c r="AD127" s="15" t="n">
        <f aca="false">H127*E127/1000</f>
        <v>0</v>
      </c>
      <c r="AE127" s="15" t="n">
        <f aca="false">I127*E127/1000</f>
        <v>0</v>
      </c>
      <c r="AF127" s="16" t="n">
        <f aca="false">ROUND(S127+T127+U127+V127-W127,2)</f>
        <v>-0.01</v>
      </c>
      <c r="AG127" s="16" t="n">
        <f aca="false">ROUND(X127-W127-Y127,2)</f>
        <v>0</v>
      </c>
    </row>
    <row r="128" customFormat="false" ht="15" hidden="false" customHeight="false" outlineLevel="0" collapsed="false">
      <c r="A128" s="13" t="s">
        <v>217</v>
      </c>
      <c r="B128" s="13" t="s">
        <v>256</v>
      </c>
      <c r="C128" s="13" t="s">
        <v>269</v>
      </c>
      <c r="D128" s="13" t="s">
        <v>271</v>
      </c>
      <c r="E128" s="14" t="n">
        <v>28.4</v>
      </c>
      <c r="F128" s="14" t="n">
        <v>42</v>
      </c>
      <c r="G128" s="14" t="n">
        <v>1.19</v>
      </c>
      <c r="H128" s="14"/>
      <c r="I128" s="14"/>
      <c r="J128" s="14" t="n">
        <v>67.36</v>
      </c>
      <c r="K128" s="14" t="n">
        <v>137.01</v>
      </c>
      <c r="L128" s="14" t="n">
        <v>1.69</v>
      </c>
      <c r="M128" s="14" t="n">
        <v>16.69</v>
      </c>
      <c r="N128" s="14" t="n">
        <v>3.9</v>
      </c>
      <c r="O128" s="14" t="n">
        <v>0.45</v>
      </c>
      <c r="P128" s="14" t="n">
        <v>1.5</v>
      </c>
      <c r="Q128" s="14"/>
      <c r="R128" s="14" t="n">
        <v>1.1</v>
      </c>
      <c r="S128" s="14" t="n">
        <v>162.34</v>
      </c>
      <c r="T128" s="14" t="n">
        <v>0.9</v>
      </c>
      <c r="U128" s="14" t="n">
        <v>10.86</v>
      </c>
      <c r="V128" s="14" t="n">
        <v>18.48</v>
      </c>
      <c r="W128" s="14" t="n">
        <v>192.59</v>
      </c>
      <c r="X128" s="14" t="n">
        <v>244.91</v>
      </c>
      <c r="Y128" s="14" t="n">
        <v>52.32</v>
      </c>
      <c r="Z128" s="14" t="n">
        <v>0.62</v>
      </c>
      <c r="AA128" s="14" t="n">
        <v>0</v>
      </c>
      <c r="AB128" s="14" t="n">
        <v>0</v>
      </c>
      <c r="AC128" s="14" t="n">
        <v>0</v>
      </c>
      <c r="AD128" s="15" t="n">
        <f aca="false">H128*E128/1000</f>
        <v>0</v>
      </c>
      <c r="AE128" s="15" t="n">
        <f aca="false">I128*E128/1000</f>
        <v>0</v>
      </c>
      <c r="AF128" s="16" t="n">
        <f aca="false">ROUND(S128+T128+U128+V128-W128,2)</f>
        <v>-0.01</v>
      </c>
      <c r="AG128" s="16" t="n">
        <f aca="false">ROUND(X128-W128-Y128,2)</f>
        <v>0</v>
      </c>
    </row>
    <row r="129" customFormat="false" ht="15" hidden="false" customHeight="false" outlineLevel="0" collapsed="false">
      <c r="A129" s="13" t="s">
        <v>217</v>
      </c>
      <c r="B129" s="13" t="s">
        <v>256</v>
      </c>
      <c r="C129" s="13" t="s">
        <v>269</v>
      </c>
      <c r="D129" s="13" t="s">
        <v>267</v>
      </c>
      <c r="E129" s="14" t="n">
        <v>30.35</v>
      </c>
      <c r="F129" s="14" t="n">
        <v>56</v>
      </c>
      <c r="G129" s="14" t="n">
        <v>1.7</v>
      </c>
      <c r="H129" s="14"/>
      <c r="I129" s="14"/>
      <c r="J129" s="14" t="n">
        <v>68</v>
      </c>
      <c r="K129" s="14" t="n">
        <v>136.94</v>
      </c>
      <c r="L129" s="14" t="n">
        <v>1.68</v>
      </c>
      <c r="M129" s="14" t="n">
        <v>18.15</v>
      </c>
      <c r="N129" s="14" t="n">
        <v>3.9</v>
      </c>
      <c r="O129" s="14" t="n">
        <v>0.54</v>
      </c>
      <c r="P129" s="14" t="n">
        <v>1.5</v>
      </c>
      <c r="Q129" s="14"/>
      <c r="R129" s="14" t="n">
        <v>1.4</v>
      </c>
      <c r="S129" s="14" t="n">
        <v>164.1</v>
      </c>
      <c r="T129" s="14" t="n">
        <v>0.9</v>
      </c>
      <c r="U129" s="14" t="n">
        <v>10.86</v>
      </c>
      <c r="V129" s="14" t="n">
        <v>18.39</v>
      </c>
      <c r="W129" s="14" t="n">
        <v>194.25</v>
      </c>
      <c r="X129" s="14" t="n">
        <v>244.91</v>
      </c>
      <c r="Y129" s="14" t="n">
        <v>50.66</v>
      </c>
      <c r="Z129" s="14" t="n">
        <v>0.86</v>
      </c>
      <c r="AA129" s="14" t="n">
        <v>0</v>
      </c>
      <c r="AB129" s="14" t="n">
        <v>0</v>
      </c>
      <c r="AC129" s="14" t="n">
        <v>0</v>
      </c>
      <c r="AD129" s="15" t="n">
        <f aca="false">H129*E129/1000</f>
        <v>0</v>
      </c>
      <c r="AE129" s="15" t="n">
        <f aca="false">I129*E129/1000</f>
        <v>0</v>
      </c>
      <c r="AF129" s="16" t="n">
        <f aca="false">ROUND(S129+T129+U129+V129-W129,2)</f>
        <v>0</v>
      </c>
      <c r="AG129" s="16" t="n">
        <f aca="false">ROUND(X129-W129-Y129,2)</f>
        <v>0</v>
      </c>
    </row>
    <row r="130" customFormat="false" ht="15" hidden="false" customHeight="false" outlineLevel="0" collapsed="false">
      <c r="A130" s="13" t="s">
        <v>217</v>
      </c>
      <c r="B130" s="13" t="s">
        <v>256</v>
      </c>
      <c r="C130" s="13" t="s">
        <v>269</v>
      </c>
      <c r="D130" s="13" t="s">
        <v>238</v>
      </c>
      <c r="E130" s="14" t="n">
        <v>34</v>
      </c>
      <c r="F130" s="14" t="n">
        <v>52</v>
      </c>
      <c r="G130" s="14" t="n">
        <v>1.77</v>
      </c>
      <c r="H130" s="14"/>
      <c r="I130" s="14"/>
      <c r="J130" s="14" t="n">
        <v>66.4</v>
      </c>
      <c r="K130" s="14" t="n">
        <v>137.12</v>
      </c>
      <c r="L130" s="14" t="n">
        <v>1.72</v>
      </c>
      <c r="M130" s="14" t="n">
        <v>16.6</v>
      </c>
      <c r="N130" s="14" t="n">
        <v>3.9</v>
      </c>
      <c r="O130" s="14" t="n">
        <v>0.45</v>
      </c>
      <c r="P130" s="14" t="n">
        <v>1.5</v>
      </c>
      <c r="Q130" s="14"/>
      <c r="R130" s="14" t="n">
        <v>1.1</v>
      </c>
      <c r="S130" s="14" t="n">
        <v>162.38</v>
      </c>
      <c r="T130" s="14" t="n">
        <v>0.9</v>
      </c>
      <c r="U130" s="14" t="n">
        <v>10.86</v>
      </c>
      <c r="V130" s="14" t="n">
        <v>18.63</v>
      </c>
      <c r="W130" s="14" t="n">
        <v>192.78</v>
      </c>
      <c r="X130" s="14" t="n">
        <v>244.91</v>
      </c>
      <c r="Y130" s="14" t="n">
        <v>52.13</v>
      </c>
      <c r="Z130" s="14" t="n">
        <v>0.92</v>
      </c>
      <c r="AA130" s="14" t="n">
        <v>0</v>
      </c>
      <c r="AB130" s="14" t="n">
        <v>0</v>
      </c>
      <c r="AC130" s="14" t="n">
        <v>0</v>
      </c>
      <c r="AD130" s="15" t="n">
        <f aca="false">H130*E130/1000</f>
        <v>0</v>
      </c>
      <c r="AE130" s="15" t="n">
        <f aca="false">I130*E130/1000</f>
        <v>0</v>
      </c>
      <c r="AF130" s="16" t="n">
        <f aca="false">ROUND(S130+T130+U130+V130-W130,2)</f>
        <v>-0.01</v>
      </c>
      <c r="AG130" s="16" t="n">
        <f aca="false">ROUND(X130-W130-Y130,2)</f>
        <v>0</v>
      </c>
    </row>
    <row r="131" customFormat="false" ht="15" hidden="false" customHeight="false" outlineLevel="0" collapsed="false">
      <c r="A131" s="13" t="s">
        <v>217</v>
      </c>
      <c r="B131" s="13" t="s">
        <v>256</v>
      </c>
      <c r="C131" s="13" t="s">
        <v>269</v>
      </c>
      <c r="D131" s="13" t="s">
        <v>272</v>
      </c>
      <c r="E131" s="14" t="n">
        <v>28.5</v>
      </c>
      <c r="F131" s="14" t="n">
        <v>30</v>
      </c>
      <c r="G131" s="14" t="n">
        <v>0.86</v>
      </c>
      <c r="H131" s="14"/>
      <c r="I131" s="14"/>
      <c r="J131" s="14" t="n">
        <v>67.06</v>
      </c>
      <c r="K131" s="14" t="n">
        <v>137.04</v>
      </c>
      <c r="L131" s="14" t="n">
        <v>1.7</v>
      </c>
      <c r="M131" s="14" t="n">
        <v>16.05</v>
      </c>
      <c r="N131" s="14" t="n">
        <v>3.9</v>
      </c>
      <c r="O131" s="14" t="n">
        <v>0.45</v>
      </c>
      <c r="P131" s="14" t="n">
        <v>1.5</v>
      </c>
      <c r="Q131" s="14"/>
      <c r="R131" s="14" t="n">
        <v>1.1</v>
      </c>
      <c r="S131" s="14" t="n">
        <v>161.75</v>
      </c>
      <c r="T131" s="14" t="n">
        <v>0.9</v>
      </c>
      <c r="U131" s="14" t="n">
        <v>10.86</v>
      </c>
      <c r="V131" s="14" t="n">
        <v>18.53</v>
      </c>
      <c r="W131" s="14" t="n">
        <v>192.04</v>
      </c>
      <c r="X131" s="14" t="n">
        <v>244.91</v>
      </c>
      <c r="Y131" s="14" t="n">
        <v>52.87</v>
      </c>
      <c r="Z131" s="14" t="n">
        <v>0.45</v>
      </c>
      <c r="AA131" s="14" t="n">
        <v>0</v>
      </c>
      <c r="AB131" s="14" t="n">
        <v>0</v>
      </c>
      <c r="AC131" s="14" t="n">
        <v>0</v>
      </c>
      <c r="AD131" s="15" t="n">
        <f aca="false">H131*E131/1000</f>
        <v>0</v>
      </c>
      <c r="AE131" s="15" t="n">
        <f aca="false">I131*E131/1000</f>
        <v>0</v>
      </c>
      <c r="AF131" s="16" t="n">
        <f aca="false">ROUND(S131+T131+U131+V131-W131,2)</f>
        <v>0</v>
      </c>
      <c r="AG131" s="16" t="n">
        <f aca="false">ROUND(X131-W131-Y131,2)</f>
        <v>0</v>
      </c>
    </row>
    <row r="132" customFormat="false" ht="15" hidden="false" customHeight="false" outlineLevel="0" collapsed="false">
      <c r="A132" s="13" t="s">
        <v>217</v>
      </c>
      <c r="B132" s="13" t="s">
        <v>256</v>
      </c>
      <c r="C132" s="13" t="s">
        <v>269</v>
      </c>
      <c r="D132" s="13" t="s">
        <v>273</v>
      </c>
      <c r="E132" s="14" t="n">
        <v>38</v>
      </c>
      <c r="F132" s="14" t="n">
        <v>28</v>
      </c>
      <c r="G132" s="14" t="n">
        <v>1.06</v>
      </c>
      <c r="H132" s="14"/>
      <c r="I132" s="14" t="n">
        <v>1</v>
      </c>
      <c r="J132" s="14" t="n">
        <v>70.96</v>
      </c>
      <c r="K132" s="14" t="n">
        <v>136.62</v>
      </c>
      <c r="L132" s="14" t="n">
        <v>1.61</v>
      </c>
      <c r="M132" s="14" t="n">
        <v>17.66</v>
      </c>
      <c r="N132" s="14" t="n">
        <v>3.9</v>
      </c>
      <c r="O132" s="14" t="n">
        <v>0.45</v>
      </c>
      <c r="P132" s="14" t="n">
        <v>1.5</v>
      </c>
      <c r="Q132" s="14"/>
      <c r="R132" s="14" t="n">
        <v>1.1</v>
      </c>
      <c r="S132" s="14" t="n">
        <v>162.84</v>
      </c>
      <c r="T132" s="14" t="n">
        <v>0.9</v>
      </c>
      <c r="U132" s="14" t="n">
        <v>10.86</v>
      </c>
      <c r="V132" s="14" t="n">
        <v>17.97</v>
      </c>
      <c r="W132" s="14" t="n">
        <v>192.57</v>
      </c>
      <c r="X132" s="14" t="n">
        <v>244.91</v>
      </c>
      <c r="Y132" s="14" t="n">
        <v>52.34</v>
      </c>
      <c r="Z132" s="14" t="n">
        <v>0.51</v>
      </c>
      <c r="AA132" s="14" t="n">
        <v>0</v>
      </c>
      <c r="AB132" s="14" t="n">
        <v>0.02</v>
      </c>
      <c r="AC132" s="14" t="n">
        <v>0.02</v>
      </c>
      <c r="AD132" s="15" t="n">
        <f aca="false">H132*E132/1000</f>
        <v>0</v>
      </c>
      <c r="AE132" s="15" t="n">
        <f aca="false">I132*E132/1000</f>
        <v>0.038</v>
      </c>
      <c r="AF132" s="16" t="n">
        <f aca="false">ROUND(S132+T132+U132+V132-W132,2)</f>
        <v>0</v>
      </c>
      <c r="AG132" s="16" t="n">
        <f aca="false">ROUND(X132-W132-Y132,2)</f>
        <v>0</v>
      </c>
    </row>
    <row r="133" customFormat="false" ht="15" hidden="false" customHeight="false" outlineLevel="0" collapsed="false">
      <c r="A133" s="13" t="s">
        <v>217</v>
      </c>
      <c r="B133" s="13" t="s">
        <v>256</v>
      </c>
      <c r="C133" s="13" t="s">
        <v>269</v>
      </c>
      <c r="D133" s="13" t="s">
        <v>274</v>
      </c>
      <c r="E133" s="14" t="n">
        <v>112</v>
      </c>
      <c r="F133" s="14" t="n">
        <v>2</v>
      </c>
      <c r="G133" s="14" t="n">
        <v>0.22</v>
      </c>
      <c r="H133" s="14"/>
      <c r="I133" s="14"/>
      <c r="J133" s="14" t="n">
        <v>71.57</v>
      </c>
      <c r="K133" s="14" t="n">
        <v>136.56</v>
      </c>
      <c r="L133" s="14" t="n">
        <v>1.59</v>
      </c>
      <c r="M133" s="14" t="n">
        <v>24.08</v>
      </c>
      <c r="N133" s="14" t="n">
        <v>3.9</v>
      </c>
      <c r="O133" s="14" t="n">
        <v>0.54</v>
      </c>
      <c r="P133" s="14" t="n">
        <v>1.5</v>
      </c>
      <c r="Q133" s="14"/>
      <c r="R133" s="14" t="n">
        <v>1.1</v>
      </c>
      <c r="S133" s="14" t="n">
        <v>169.27</v>
      </c>
      <c r="T133" s="14" t="n">
        <v>0.9</v>
      </c>
      <c r="U133" s="14" t="n">
        <v>10.86</v>
      </c>
      <c r="V133" s="14" t="n">
        <v>17.89</v>
      </c>
      <c r="W133" s="14" t="n">
        <v>198.91</v>
      </c>
      <c r="X133" s="14" t="n">
        <v>240.91</v>
      </c>
      <c r="Y133" s="14" t="n">
        <v>42</v>
      </c>
      <c r="Z133" s="14" t="n">
        <v>0.09</v>
      </c>
      <c r="AA133" s="14" t="n">
        <v>0</v>
      </c>
      <c r="AB133" s="14" t="n">
        <v>0</v>
      </c>
      <c r="AC133" s="14" t="n">
        <v>0</v>
      </c>
      <c r="AD133" s="15" t="n">
        <f aca="false">H133*E133/1000</f>
        <v>0</v>
      </c>
      <c r="AE133" s="15" t="n">
        <f aca="false">I133*E133/1000</f>
        <v>0</v>
      </c>
      <c r="AF133" s="16" t="n">
        <f aca="false">ROUND(S133+T133+U133+V133-W133,2)</f>
        <v>0.01</v>
      </c>
      <c r="AG133" s="16" t="n">
        <f aca="false">ROUND(X133-W133-Y133,2)</f>
        <v>0</v>
      </c>
    </row>
    <row r="134" customFormat="false" ht="15" hidden="false" customHeight="false" outlineLevel="0" collapsed="false">
      <c r="A134" s="13" t="s">
        <v>217</v>
      </c>
      <c r="B134" s="13" t="s">
        <v>256</v>
      </c>
      <c r="C134" s="13" t="s">
        <v>235</v>
      </c>
      <c r="D134" s="13" t="s">
        <v>236</v>
      </c>
      <c r="E134" s="14" t="n">
        <v>31.66</v>
      </c>
      <c r="F134" s="14" t="n">
        <v>88</v>
      </c>
      <c r="G134" s="14" t="n">
        <v>2.79</v>
      </c>
      <c r="H134" s="14"/>
      <c r="I134" s="14"/>
      <c r="J134" s="14" t="n">
        <v>61.09</v>
      </c>
      <c r="K134" s="14" t="n">
        <v>132.55</v>
      </c>
      <c r="L134" s="14" t="n">
        <v>3.44</v>
      </c>
      <c r="M134" s="14" t="n">
        <v>14.15</v>
      </c>
      <c r="N134" s="14" t="n">
        <v>3.9</v>
      </c>
      <c r="O134" s="14" t="n">
        <v>0.54</v>
      </c>
      <c r="P134" s="14" t="n">
        <v>1.5</v>
      </c>
      <c r="Q134" s="14"/>
      <c r="R134" s="14" t="n">
        <v>1.1</v>
      </c>
      <c r="S134" s="14" t="n">
        <v>157.17</v>
      </c>
      <c r="T134" s="14" t="n">
        <v>0.9</v>
      </c>
      <c r="U134" s="14" t="n">
        <v>10.86</v>
      </c>
      <c r="V134" s="14" t="n">
        <v>19.53</v>
      </c>
      <c r="W134" s="14" t="n">
        <v>188.46</v>
      </c>
      <c r="X134" s="14" t="n">
        <v>240.91</v>
      </c>
      <c r="Y134" s="14" t="n">
        <v>52.45</v>
      </c>
      <c r="Z134" s="14" t="n">
        <v>1.46</v>
      </c>
      <c r="AA134" s="14" t="n">
        <v>0</v>
      </c>
      <c r="AB134" s="14" t="n">
        <v>0</v>
      </c>
      <c r="AC134" s="14" t="n">
        <v>0</v>
      </c>
      <c r="AD134" s="15" t="n">
        <f aca="false">H134*E134/1000</f>
        <v>0</v>
      </c>
      <c r="AE134" s="15" t="n">
        <f aca="false">I134*E134/1000</f>
        <v>0</v>
      </c>
      <c r="AF134" s="16" t="n">
        <f aca="false">ROUND(S134+T134+U134+V134-W134,2)</f>
        <v>0</v>
      </c>
      <c r="AG134" s="16" t="n">
        <f aca="false">ROUND(X134-W134-Y134,2)</f>
        <v>0</v>
      </c>
    </row>
    <row r="135" customFormat="false" ht="15" hidden="false" customHeight="false" outlineLevel="0" collapsed="false">
      <c r="A135" s="13" t="s">
        <v>217</v>
      </c>
      <c r="B135" s="13" t="s">
        <v>256</v>
      </c>
      <c r="C135" s="13" t="s">
        <v>235</v>
      </c>
      <c r="D135" s="13" t="s">
        <v>270</v>
      </c>
      <c r="E135" s="14" t="n">
        <v>472</v>
      </c>
      <c r="F135" s="14" t="n">
        <v>106</v>
      </c>
      <c r="G135" s="14" t="n">
        <v>50.03</v>
      </c>
      <c r="H135" s="14" t="n">
        <v>8</v>
      </c>
      <c r="I135" s="14" t="n">
        <v>3</v>
      </c>
      <c r="J135" s="14" t="n">
        <v>73.14</v>
      </c>
      <c r="K135" s="14" t="n">
        <v>131.2</v>
      </c>
      <c r="L135" s="14" t="n">
        <v>2.87</v>
      </c>
      <c r="M135" s="14" t="n">
        <v>12.83</v>
      </c>
      <c r="N135" s="14" t="n">
        <v>3.9</v>
      </c>
      <c r="O135" s="14"/>
      <c r="P135" s="14" t="n">
        <v>1.5</v>
      </c>
      <c r="Q135" s="14"/>
      <c r="R135" s="14" t="n">
        <v>1.1</v>
      </c>
      <c r="S135" s="14" t="n">
        <v>153.41</v>
      </c>
      <c r="T135" s="14" t="n">
        <v>0.9</v>
      </c>
      <c r="U135" s="14" t="n">
        <v>10.86</v>
      </c>
      <c r="V135" s="14" t="n">
        <v>17.68</v>
      </c>
      <c r="W135" s="14" t="n">
        <v>182.85</v>
      </c>
      <c r="X135" s="14" t="n">
        <v>240.91</v>
      </c>
      <c r="Y135" s="14" t="n">
        <v>58.06</v>
      </c>
      <c r="Z135" s="14" t="n">
        <v>23.55</v>
      </c>
      <c r="AA135" s="14" t="n">
        <v>1.68</v>
      </c>
      <c r="AB135" s="14" t="n">
        <v>0.8</v>
      </c>
      <c r="AC135" s="14" t="n">
        <v>3.01</v>
      </c>
      <c r="AD135" s="15" t="n">
        <f aca="false">H135*E135/1000</f>
        <v>3.776</v>
      </c>
      <c r="AE135" s="15" t="n">
        <f aca="false">I135*E135/1000</f>
        <v>1.416</v>
      </c>
      <c r="AF135" s="16" t="n">
        <f aca="false">ROUND(S135+T135+U135+V135-W135,2)</f>
        <v>0</v>
      </c>
      <c r="AG135" s="16" t="n">
        <f aca="false">ROUND(X135-W135-Y135,2)</f>
        <v>0</v>
      </c>
    </row>
    <row r="136" customFormat="false" ht="15" hidden="false" customHeight="false" outlineLevel="0" collapsed="false">
      <c r="A136" s="13" t="s">
        <v>217</v>
      </c>
      <c r="B136" s="13" t="s">
        <v>256</v>
      </c>
      <c r="C136" s="13" t="s">
        <v>235</v>
      </c>
      <c r="D136" s="13" t="s">
        <v>274</v>
      </c>
      <c r="E136" s="14" t="n">
        <v>112</v>
      </c>
      <c r="F136" s="14" t="n">
        <v>248</v>
      </c>
      <c r="G136" s="14" t="n">
        <v>27.78</v>
      </c>
      <c r="H136" s="14" t="n">
        <v>8</v>
      </c>
      <c r="I136" s="14"/>
      <c r="J136" s="14" t="n">
        <v>71.57</v>
      </c>
      <c r="K136" s="14" t="n">
        <v>131.35</v>
      </c>
      <c r="L136" s="14" t="n">
        <v>2.93</v>
      </c>
      <c r="M136" s="14" t="n">
        <v>18.53</v>
      </c>
      <c r="N136" s="14" t="n">
        <v>3.9</v>
      </c>
      <c r="O136" s="14" t="n">
        <v>0.54</v>
      </c>
      <c r="P136" s="14" t="n">
        <v>1.5</v>
      </c>
      <c r="Q136" s="14"/>
      <c r="R136" s="14" t="n">
        <v>1.1</v>
      </c>
      <c r="S136" s="14" t="n">
        <v>159.85</v>
      </c>
      <c r="T136" s="14" t="n">
        <v>0.9</v>
      </c>
      <c r="U136" s="14" t="n">
        <v>10.86</v>
      </c>
      <c r="V136" s="14" t="n">
        <v>17.89</v>
      </c>
      <c r="W136" s="14" t="n">
        <v>189.5</v>
      </c>
      <c r="X136" s="14" t="n">
        <v>240.91</v>
      </c>
      <c r="Y136" s="14" t="n">
        <v>51.41</v>
      </c>
      <c r="Z136" s="14" t="n">
        <v>13.37</v>
      </c>
      <c r="AA136" s="14" t="n">
        <v>0.45</v>
      </c>
      <c r="AB136" s="14" t="n">
        <v>0</v>
      </c>
      <c r="AC136" s="14" t="n">
        <v>0.46</v>
      </c>
      <c r="AD136" s="15" t="n">
        <f aca="false">H136*E136/1000</f>
        <v>0.896</v>
      </c>
      <c r="AE136" s="15" t="n">
        <f aca="false">I136*E136/1000</f>
        <v>0</v>
      </c>
      <c r="AF136" s="16" t="n">
        <f aca="false">ROUND(S136+T136+U136+V136-W136,2)</f>
        <v>0</v>
      </c>
      <c r="AG136" s="16" t="n">
        <f aca="false">ROUND(X136-W136-Y136,2)</f>
        <v>0</v>
      </c>
    </row>
    <row r="137" customFormat="false" ht="15" hidden="false" customHeight="false" outlineLevel="0" collapsed="false">
      <c r="A137" s="13" t="s">
        <v>217</v>
      </c>
      <c r="B137" s="13" t="s">
        <v>256</v>
      </c>
      <c r="C137" s="13" t="s">
        <v>240</v>
      </c>
      <c r="D137" s="13" t="s">
        <v>236</v>
      </c>
      <c r="E137" s="14" t="n">
        <v>31.66</v>
      </c>
      <c r="F137" s="14" t="n">
        <v>128</v>
      </c>
      <c r="G137" s="14" t="n">
        <v>4.05</v>
      </c>
      <c r="H137" s="14" t="n">
        <v>3</v>
      </c>
      <c r="I137" s="14" t="n">
        <v>1</v>
      </c>
      <c r="J137" s="14" t="n">
        <v>61.09</v>
      </c>
      <c r="K137" s="14" t="n">
        <v>130.13</v>
      </c>
      <c r="L137" s="14" t="n">
        <v>2.56</v>
      </c>
      <c r="M137" s="14" t="n">
        <v>17.05</v>
      </c>
      <c r="N137" s="14" t="n">
        <v>3.9</v>
      </c>
      <c r="O137" s="14" t="n">
        <v>0.54</v>
      </c>
      <c r="P137" s="14" t="n">
        <v>1.5</v>
      </c>
      <c r="Q137" s="14"/>
      <c r="R137" s="14" t="n">
        <v>1.1</v>
      </c>
      <c r="S137" s="14" t="n">
        <v>156.78</v>
      </c>
      <c r="T137" s="14" t="n">
        <v>0.9</v>
      </c>
      <c r="U137" s="14" t="n">
        <v>10.86</v>
      </c>
      <c r="V137" s="14" t="n">
        <v>19.53</v>
      </c>
      <c r="W137" s="14" t="n">
        <v>188.07</v>
      </c>
      <c r="X137" s="14" t="n">
        <v>244.91</v>
      </c>
      <c r="Y137" s="14" t="n">
        <v>56.84</v>
      </c>
      <c r="Z137" s="14" t="n">
        <v>2.16</v>
      </c>
      <c r="AA137" s="14" t="n">
        <v>0.05</v>
      </c>
      <c r="AB137" s="14" t="n">
        <v>0.02</v>
      </c>
      <c r="AC137" s="14" t="n">
        <v>0.07</v>
      </c>
      <c r="AD137" s="15" t="n">
        <f aca="false">H137*E137/1000</f>
        <v>0.09498</v>
      </c>
      <c r="AE137" s="15" t="n">
        <f aca="false">I137*E137/1000</f>
        <v>0.03166</v>
      </c>
      <c r="AF137" s="16" t="n">
        <f aca="false">ROUND(S137+T137+U137+V137-W137,2)</f>
        <v>0</v>
      </c>
      <c r="AG137" s="16" t="n">
        <f aca="false">ROUND(X137-W137-Y137,2)</f>
        <v>0</v>
      </c>
    </row>
    <row r="138" customFormat="false" ht="15" hidden="false" customHeight="false" outlineLevel="0" collapsed="false">
      <c r="A138" s="13" t="s">
        <v>217</v>
      </c>
      <c r="B138" s="13" t="s">
        <v>256</v>
      </c>
      <c r="C138" s="13" t="s">
        <v>240</v>
      </c>
      <c r="D138" s="13" t="s">
        <v>270</v>
      </c>
      <c r="E138" s="14" t="n">
        <v>472</v>
      </c>
      <c r="F138" s="14" t="n">
        <v>116</v>
      </c>
      <c r="G138" s="14" t="n">
        <v>54.75</v>
      </c>
      <c r="H138" s="14" t="n">
        <v>5</v>
      </c>
      <c r="I138" s="14" t="n">
        <v>8</v>
      </c>
      <c r="J138" s="14" t="n">
        <v>73.14</v>
      </c>
      <c r="K138" s="14" t="n">
        <v>128.81</v>
      </c>
      <c r="L138" s="14" t="n">
        <v>2.14</v>
      </c>
      <c r="M138" s="14" t="n">
        <v>15.6</v>
      </c>
      <c r="N138" s="14" t="n">
        <v>3.9</v>
      </c>
      <c r="O138" s="14"/>
      <c r="P138" s="14" t="n">
        <v>1.5</v>
      </c>
      <c r="Q138" s="14"/>
      <c r="R138" s="14" t="n">
        <v>1.1</v>
      </c>
      <c r="S138" s="14" t="n">
        <v>153.05</v>
      </c>
      <c r="T138" s="14" t="n">
        <v>0.9</v>
      </c>
      <c r="U138" s="14" t="n">
        <v>10.86</v>
      </c>
      <c r="V138" s="14" t="n">
        <v>17.68</v>
      </c>
      <c r="W138" s="14" t="n">
        <v>182.49</v>
      </c>
      <c r="X138" s="14" t="n">
        <v>240.91</v>
      </c>
      <c r="Y138" s="14" t="n">
        <v>58.42</v>
      </c>
      <c r="Z138" s="14" t="n">
        <v>25.1</v>
      </c>
      <c r="AA138" s="14" t="n">
        <v>1.1</v>
      </c>
      <c r="AB138" s="14" t="n">
        <v>2.2</v>
      </c>
      <c r="AC138" s="14" t="n">
        <v>3.58</v>
      </c>
      <c r="AD138" s="15" t="n">
        <f aca="false">H138*E138/1000</f>
        <v>2.36</v>
      </c>
      <c r="AE138" s="15" t="n">
        <f aca="false">I138*E138/1000</f>
        <v>3.776</v>
      </c>
      <c r="AF138" s="16" t="n">
        <f aca="false">ROUND(S138+T138+U138+V138-W138,2)</f>
        <v>0</v>
      </c>
      <c r="AG138" s="16" t="n">
        <f aca="false">ROUND(X138-W138-Y138,2)</f>
        <v>0</v>
      </c>
    </row>
    <row r="139" customFormat="false" ht="15" hidden="false" customHeight="false" outlineLevel="0" collapsed="false">
      <c r="A139" s="13" t="s">
        <v>217</v>
      </c>
      <c r="B139" s="13" t="s">
        <v>256</v>
      </c>
      <c r="C139" s="13" t="s">
        <v>240</v>
      </c>
      <c r="D139" s="13" t="s">
        <v>275</v>
      </c>
      <c r="E139" s="14" t="n">
        <v>62</v>
      </c>
      <c r="F139" s="14" t="n">
        <v>4</v>
      </c>
      <c r="G139" s="14" t="n">
        <v>0.25</v>
      </c>
      <c r="H139" s="14"/>
      <c r="I139" s="14"/>
      <c r="J139" s="14" t="n">
        <v>71.47</v>
      </c>
      <c r="K139" s="14" t="n">
        <v>128.97</v>
      </c>
      <c r="L139" s="14" t="n">
        <v>2.19</v>
      </c>
      <c r="M139" s="14" t="n">
        <v>12.18</v>
      </c>
      <c r="N139" s="14" t="n">
        <v>3.9</v>
      </c>
      <c r="O139" s="14" t="n">
        <v>0.45</v>
      </c>
      <c r="P139" s="14" t="n">
        <v>1.5</v>
      </c>
      <c r="Q139" s="14"/>
      <c r="R139" s="14"/>
      <c r="S139" s="14" t="n">
        <v>149.18</v>
      </c>
      <c r="T139" s="14" t="n">
        <v>0.9</v>
      </c>
      <c r="U139" s="14" t="n">
        <v>10.86</v>
      </c>
      <c r="V139" s="14" t="n">
        <v>17.9</v>
      </c>
      <c r="W139" s="14" t="n">
        <v>178.84</v>
      </c>
      <c r="X139" s="14" t="n">
        <v>244.91</v>
      </c>
      <c r="Y139" s="14" t="n">
        <v>66.07</v>
      </c>
      <c r="Z139" s="14" t="n">
        <v>0.16</v>
      </c>
      <c r="AA139" s="14" t="n">
        <v>0</v>
      </c>
      <c r="AB139" s="14" t="n">
        <v>0</v>
      </c>
      <c r="AC139" s="14" t="n">
        <v>0</v>
      </c>
      <c r="AD139" s="15" t="n">
        <f aca="false">H139*E139/1000</f>
        <v>0</v>
      </c>
      <c r="AE139" s="15" t="n">
        <f aca="false">I139*E139/1000</f>
        <v>0</v>
      </c>
      <c r="AF139" s="16" t="n">
        <f aca="false">ROUND(S139+T139+U139+V139-W139,2)</f>
        <v>0</v>
      </c>
      <c r="AG139" s="16" t="n">
        <f aca="false">ROUND(X139-W139-Y139,2)</f>
        <v>0</v>
      </c>
    </row>
    <row r="140" customFormat="false" ht="15" hidden="false" customHeight="false" outlineLevel="0" collapsed="false">
      <c r="A140" s="13" t="s">
        <v>217</v>
      </c>
      <c r="B140" s="13" t="s">
        <v>256</v>
      </c>
      <c r="C140" s="13" t="s">
        <v>240</v>
      </c>
      <c r="D140" s="13" t="s">
        <v>276</v>
      </c>
      <c r="E140" s="14" t="n">
        <v>91</v>
      </c>
      <c r="F140" s="14" t="n">
        <v>2</v>
      </c>
      <c r="G140" s="14" t="n">
        <v>0.18</v>
      </c>
      <c r="H140" s="14"/>
      <c r="I140" s="14"/>
      <c r="J140" s="14" t="n">
        <v>64.4</v>
      </c>
      <c r="K140" s="14" t="n">
        <v>129.72</v>
      </c>
      <c r="L140" s="14" t="n">
        <v>2.43</v>
      </c>
      <c r="M140" s="14" t="n">
        <v>14.06</v>
      </c>
      <c r="N140" s="14" t="n">
        <v>3.9</v>
      </c>
      <c r="O140" s="14" t="n">
        <v>0.45</v>
      </c>
      <c r="P140" s="14" t="n">
        <v>1.5</v>
      </c>
      <c r="Q140" s="14"/>
      <c r="R140" s="14" t="n">
        <v>1.1</v>
      </c>
      <c r="S140" s="14" t="n">
        <v>153.16</v>
      </c>
      <c r="T140" s="14" t="n">
        <v>0.9</v>
      </c>
      <c r="U140" s="14" t="n">
        <v>10.86</v>
      </c>
      <c r="V140" s="14" t="n">
        <v>18.95</v>
      </c>
      <c r="W140" s="14" t="n">
        <v>183.87</v>
      </c>
      <c r="X140" s="14" t="n">
        <v>244.91</v>
      </c>
      <c r="Y140" s="14" t="n">
        <v>61.04</v>
      </c>
      <c r="Z140" s="14" t="n">
        <v>0.11</v>
      </c>
      <c r="AA140" s="14" t="n">
        <v>0</v>
      </c>
      <c r="AB140" s="14" t="n">
        <v>0</v>
      </c>
      <c r="AC140" s="14" t="n">
        <v>0</v>
      </c>
      <c r="AD140" s="15" t="n">
        <f aca="false">H140*E140/1000</f>
        <v>0</v>
      </c>
      <c r="AE140" s="15" t="n">
        <f aca="false">I140*E140/1000</f>
        <v>0</v>
      </c>
      <c r="AF140" s="16" t="n">
        <f aca="false">ROUND(S140+T140+U140+V140-W140,2)</f>
        <v>0</v>
      </c>
      <c r="AG140" s="16" t="n">
        <f aca="false">ROUND(X140-W140-Y140,2)</f>
        <v>0</v>
      </c>
    </row>
    <row r="141" customFormat="false" ht="15" hidden="false" customHeight="false" outlineLevel="0" collapsed="false">
      <c r="A141" s="13" t="s">
        <v>217</v>
      </c>
      <c r="B141" s="13" t="s">
        <v>256</v>
      </c>
      <c r="C141" s="13" t="s">
        <v>240</v>
      </c>
      <c r="D141" s="13" t="s">
        <v>273</v>
      </c>
      <c r="E141" s="14" t="n">
        <v>38</v>
      </c>
      <c r="F141" s="14" t="n">
        <v>4</v>
      </c>
      <c r="G141" s="14" t="n">
        <v>0.15</v>
      </c>
      <c r="H141" s="14" t="n">
        <v>1</v>
      </c>
      <c r="I141" s="14"/>
      <c r="J141" s="14" t="n">
        <v>70.96</v>
      </c>
      <c r="K141" s="14" t="n">
        <v>129.01</v>
      </c>
      <c r="L141" s="14" t="n">
        <v>2.2</v>
      </c>
      <c r="M141" s="14" t="n">
        <v>17.08</v>
      </c>
      <c r="N141" s="14" t="n">
        <v>3.9</v>
      </c>
      <c r="O141" s="14" t="n">
        <v>0.45</v>
      </c>
      <c r="P141" s="14" t="n">
        <v>1.5</v>
      </c>
      <c r="Q141" s="14"/>
      <c r="R141" s="14" t="n">
        <v>1.1</v>
      </c>
      <c r="S141" s="14" t="n">
        <v>155.25</v>
      </c>
      <c r="T141" s="14" t="n">
        <v>0.9</v>
      </c>
      <c r="U141" s="14" t="n">
        <v>10.86</v>
      </c>
      <c r="V141" s="14" t="n">
        <v>17.97</v>
      </c>
      <c r="W141" s="14" t="n">
        <v>184.98</v>
      </c>
      <c r="X141" s="14" t="n">
        <v>244.91</v>
      </c>
      <c r="Y141" s="14" t="n">
        <v>59.93</v>
      </c>
      <c r="Z141" s="14" t="n">
        <v>0.05</v>
      </c>
      <c r="AA141" s="14" t="n">
        <v>0.02</v>
      </c>
      <c r="AB141" s="14" t="n">
        <v>0</v>
      </c>
      <c r="AC141" s="14" t="n">
        <v>0.02</v>
      </c>
      <c r="AD141" s="15" t="n">
        <f aca="false">H141*E141/1000</f>
        <v>0.038</v>
      </c>
      <c r="AE141" s="15" t="n">
        <f aca="false">I141*E141/1000</f>
        <v>0</v>
      </c>
      <c r="AF141" s="16" t="n">
        <f aca="false">ROUND(S141+T141+U141+V141-W141,2)</f>
        <v>0</v>
      </c>
      <c r="AG141" s="16" t="n">
        <f aca="false">ROUND(X141-W141-Y141,2)</f>
        <v>0</v>
      </c>
    </row>
    <row r="142" customFormat="false" ht="15" hidden="false" customHeight="false" outlineLevel="0" collapsed="false">
      <c r="A142" s="13" t="s">
        <v>217</v>
      </c>
      <c r="B142" s="13" t="s">
        <v>256</v>
      </c>
      <c r="C142" s="13" t="s">
        <v>240</v>
      </c>
      <c r="D142" s="13" t="s">
        <v>257</v>
      </c>
      <c r="E142" s="14" t="n">
        <v>46.5</v>
      </c>
      <c r="F142" s="14" t="n">
        <v>16</v>
      </c>
      <c r="G142" s="14" t="n">
        <v>0.74</v>
      </c>
      <c r="H142" s="14"/>
      <c r="I142" s="14"/>
      <c r="J142" s="14" t="n">
        <v>67.23</v>
      </c>
      <c r="K142" s="14" t="n">
        <v>129.4</v>
      </c>
      <c r="L142" s="14" t="n">
        <v>2.33</v>
      </c>
      <c r="M142" s="14" t="n">
        <v>14</v>
      </c>
      <c r="N142" s="14" t="n">
        <v>3.9</v>
      </c>
      <c r="O142" s="14" t="n">
        <v>0.45</v>
      </c>
      <c r="P142" s="14" t="n">
        <v>1.5</v>
      </c>
      <c r="Q142" s="14"/>
      <c r="R142" s="14" t="n">
        <v>1.4</v>
      </c>
      <c r="S142" s="14" t="n">
        <v>152.98</v>
      </c>
      <c r="T142" s="14" t="n">
        <v>0.9</v>
      </c>
      <c r="U142" s="14" t="n">
        <v>10.86</v>
      </c>
      <c r="V142" s="14" t="n">
        <v>18.5</v>
      </c>
      <c r="W142" s="14" t="n">
        <v>183.24</v>
      </c>
      <c r="X142" s="14" t="n">
        <v>244.91</v>
      </c>
      <c r="Y142" s="14" t="n">
        <v>61.67</v>
      </c>
      <c r="Z142" s="14" t="n">
        <v>0.46</v>
      </c>
      <c r="AA142" s="14" t="n">
        <v>0</v>
      </c>
      <c r="AB142" s="14" t="n">
        <v>0</v>
      </c>
      <c r="AC142" s="14" t="n">
        <v>0</v>
      </c>
      <c r="AD142" s="15" t="n">
        <f aca="false">H142*E142/1000</f>
        <v>0</v>
      </c>
      <c r="AE142" s="15" t="n">
        <f aca="false">I142*E142/1000</f>
        <v>0</v>
      </c>
      <c r="AF142" s="16" t="n">
        <f aca="false">ROUND(S142+T142+U142+V142-W142,2)</f>
        <v>0</v>
      </c>
      <c r="AG142" s="16" t="n">
        <f aca="false">ROUND(X142-W142-Y142,2)</f>
        <v>0</v>
      </c>
    </row>
    <row r="143" customFormat="false" ht="15" hidden="false" customHeight="false" outlineLevel="0" collapsed="false">
      <c r="A143" s="13" t="s">
        <v>217</v>
      </c>
      <c r="B143" s="13" t="s">
        <v>256</v>
      </c>
      <c r="C143" s="13" t="s">
        <v>240</v>
      </c>
      <c r="D143" s="13" t="s">
        <v>258</v>
      </c>
      <c r="E143" s="14" t="n">
        <v>46.5</v>
      </c>
      <c r="F143" s="14" t="n">
        <v>16</v>
      </c>
      <c r="G143" s="14" t="n">
        <v>0.74</v>
      </c>
      <c r="H143" s="14"/>
      <c r="I143" s="14"/>
      <c r="J143" s="14" t="n">
        <v>67.23</v>
      </c>
      <c r="K143" s="14" t="n">
        <v>129.4</v>
      </c>
      <c r="L143" s="14" t="n">
        <v>2.33</v>
      </c>
      <c r="M143" s="14" t="n">
        <v>14</v>
      </c>
      <c r="N143" s="14" t="n">
        <v>3.9</v>
      </c>
      <c r="O143" s="14" t="n">
        <v>0.45</v>
      </c>
      <c r="P143" s="14" t="n">
        <v>1.5</v>
      </c>
      <c r="Q143" s="14"/>
      <c r="R143" s="14" t="n">
        <v>1.4</v>
      </c>
      <c r="S143" s="14" t="n">
        <v>152.98</v>
      </c>
      <c r="T143" s="14" t="n">
        <v>0.9</v>
      </c>
      <c r="U143" s="14" t="n">
        <v>10.86</v>
      </c>
      <c r="V143" s="14" t="n">
        <v>18.5</v>
      </c>
      <c r="W143" s="14" t="n">
        <v>183.24</v>
      </c>
      <c r="X143" s="14" t="n">
        <v>244.91</v>
      </c>
      <c r="Y143" s="14" t="n">
        <v>61.67</v>
      </c>
      <c r="Z143" s="14" t="n">
        <v>0.46</v>
      </c>
      <c r="AA143" s="14" t="n">
        <v>0</v>
      </c>
      <c r="AB143" s="14" t="n">
        <v>0</v>
      </c>
      <c r="AC143" s="14" t="n">
        <v>0</v>
      </c>
      <c r="AD143" s="15" t="n">
        <f aca="false">H143*E143/1000</f>
        <v>0</v>
      </c>
      <c r="AE143" s="15" t="n">
        <f aca="false">I143*E143/1000</f>
        <v>0</v>
      </c>
      <c r="AF143" s="16" t="n">
        <f aca="false">ROUND(S143+T143+U143+V143-W143,2)</f>
        <v>0</v>
      </c>
      <c r="AG143" s="16" t="n">
        <f aca="false">ROUND(X143-W143-Y143,2)</f>
        <v>0</v>
      </c>
    </row>
    <row r="144" customFormat="false" ht="15" hidden="false" customHeight="false" outlineLevel="0" collapsed="false">
      <c r="A144" s="13" t="s">
        <v>217</v>
      </c>
      <c r="B144" s="13" t="s">
        <v>256</v>
      </c>
      <c r="C144" s="13" t="s">
        <v>241</v>
      </c>
      <c r="D144" s="13" t="s">
        <v>270</v>
      </c>
      <c r="E144" s="14" t="n">
        <v>472</v>
      </c>
      <c r="F144" s="14" t="n">
        <v>18</v>
      </c>
      <c r="G144" s="14" t="n">
        <v>8.5</v>
      </c>
      <c r="H144" s="14" t="n">
        <v>4</v>
      </c>
      <c r="I144" s="14" t="n">
        <v>1</v>
      </c>
      <c r="J144" s="14" t="n">
        <v>73.14</v>
      </c>
      <c r="K144" s="14" t="n">
        <v>124.44</v>
      </c>
      <c r="L144" s="14" t="n">
        <v>2.14</v>
      </c>
      <c r="M144" s="14" t="n">
        <v>18.41</v>
      </c>
      <c r="N144" s="14" t="n">
        <v>3.9</v>
      </c>
      <c r="O144" s="14"/>
      <c r="P144" s="14" t="n">
        <v>1.5</v>
      </c>
      <c r="Q144" s="14"/>
      <c r="R144" s="14"/>
      <c r="S144" s="14" t="n">
        <v>150.39</v>
      </c>
      <c r="T144" s="14" t="n">
        <v>0.9</v>
      </c>
      <c r="U144" s="14" t="n">
        <v>11.87</v>
      </c>
      <c r="V144" s="14" t="n">
        <v>18.06</v>
      </c>
      <c r="W144" s="14" t="n">
        <v>181.21</v>
      </c>
      <c r="X144" s="14" t="n">
        <v>240.91</v>
      </c>
      <c r="Y144" s="14" t="n">
        <v>59.7</v>
      </c>
      <c r="Z144" s="14" t="n">
        <v>2.33</v>
      </c>
      <c r="AA144" s="14" t="n">
        <v>1.04</v>
      </c>
      <c r="AB144" s="14" t="n">
        <v>0.29</v>
      </c>
      <c r="AC144" s="14" t="n">
        <v>1.41</v>
      </c>
      <c r="AD144" s="15" t="n">
        <f aca="false">H144*E144/1000</f>
        <v>1.888</v>
      </c>
      <c r="AE144" s="15" t="n">
        <f aca="false">I144*E144/1000</f>
        <v>0.472</v>
      </c>
      <c r="AF144" s="16" t="n">
        <f aca="false">ROUND(S144+T144+U144+V144-W144,2)</f>
        <v>0.01</v>
      </c>
      <c r="AG144" s="16" t="n">
        <f aca="false">ROUND(X144-W144-Y144,2)</f>
        <v>0</v>
      </c>
    </row>
    <row r="145" customFormat="false" ht="15" hidden="false" customHeight="false" outlineLevel="0" collapsed="false">
      <c r="A145" s="13" t="s">
        <v>217</v>
      </c>
      <c r="B145" s="13" t="s">
        <v>256</v>
      </c>
      <c r="C145" s="13" t="s">
        <v>241</v>
      </c>
      <c r="D145" s="13" t="s">
        <v>275</v>
      </c>
      <c r="E145" s="14" t="n">
        <v>62</v>
      </c>
      <c r="F145" s="14" t="n">
        <v>48</v>
      </c>
      <c r="G145" s="14" t="n">
        <v>2.98</v>
      </c>
      <c r="H145" s="14" t="n">
        <v>18</v>
      </c>
      <c r="I145" s="14"/>
      <c r="J145" s="14" t="n">
        <v>71.47</v>
      </c>
      <c r="K145" s="14" t="n">
        <v>124.59</v>
      </c>
      <c r="L145" s="14" t="n">
        <v>2.19</v>
      </c>
      <c r="M145" s="14" t="n">
        <v>14.25</v>
      </c>
      <c r="N145" s="14" t="n">
        <v>3.9</v>
      </c>
      <c r="O145" s="14" t="n">
        <v>0.45</v>
      </c>
      <c r="P145" s="14" t="n">
        <v>1.5</v>
      </c>
      <c r="Q145" s="14"/>
      <c r="R145" s="14" t="n">
        <v>1.4</v>
      </c>
      <c r="S145" s="14" t="n">
        <v>148.29</v>
      </c>
      <c r="T145" s="14" t="n">
        <v>0.9</v>
      </c>
      <c r="U145" s="14" t="n">
        <v>11.87</v>
      </c>
      <c r="V145" s="14" t="n">
        <v>18.28</v>
      </c>
      <c r="W145" s="14" t="n">
        <v>179.34</v>
      </c>
      <c r="X145" s="14" t="n">
        <v>221.36</v>
      </c>
      <c r="Y145" s="14" t="n">
        <v>42.02</v>
      </c>
      <c r="Z145" s="14" t="n">
        <v>0.21</v>
      </c>
      <c r="AA145" s="14" t="n">
        <v>0.57</v>
      </c>
      <c r="AB145" s="14" t="n">
        <v>0</v>
      </c>
      <c r="AC145" s="14" t="n">
        <v>0.47</v>
      </c>
      <c r="AD145" s="15" t="n">
        <f aca="false">H145*E145/1000</f>
        <v>1.116</v>
      </c>
      <c r="AE145" s="15" t="n">
        <f aca="false">I145*E145/1000</f>
        <v>0</v>
      </c>
      <c r="AF145" s="16" t="n">
        <f aca="false">ROUND(S145+T145+U145+V145-W145,2)</f>
        <v>0</v>
      </c>
      <c r="AG145" s="16" t="n">
        <f aca="false">ROUND(X145-W145-Y145,2)</f>
        <v>0</v>
      </c>
    </row>
    <row r="146" customFormat="false" ht="15" hidden="false" customHeight="false" outlineLevel="0" collapsed="false">
      <c r="A146" s="13" t="s">
        <v>217</v>
      </c>
      <c r="B146" s="13" t="s">
        <v>256</v>
      </c>
      <c r="C146" s="13" t="s">
        <v>241</v>
      </c>
      <c r="D146" s="13" t="s">
        <v>276</v>
      </c>
      <c r="E146" s="14" t="n">
        <v>91</v>
      </c>
      <c r="F146" s="14" t="n">
        <v>96</v>
      </c>
      <c r="G146" s="14" t="n">
        <v>8.74</v>
      </c>
      <c r="H146" s="14" t="n">
        <v>0</v>
      </c>
      <c r="I146" s="14" t="n">
        <v>1</v>
      </c>
      <c r="J146" s="14" t="n">
        <v>64.4</v>
      </c>
      <c r="K146" s="14" t="n">
        <v>125.32</v>
      </c>
      <c r="L146" s="14" t="n">
        <v>2.43</v>
      </c>
      <c r="M146" s="14" t="n">
        <v>16.54</v>
      </c>
      <c r="N146" s="14" t="n">
        <v>3.9</v>
      </c>
      <c r="O146" s="14" t="n">
        <v>0.45</v>
      </c>
      <c r="P146" s="14" t="n">
        <v>1.5</v>
      </c>
      <c r="Q146" s="14"/>
      <c r="R146" s="14" t="n">
        <v>1.4</v>
      </c>
      <c r="S146" s="14" t="n">
        <v>151.53</v>
      </c>
      <c r="T146" s="14" t="n">
        <v>0.9</v>
      </c>
      <c r="U146" s="14" t="n">
        <v>11.87</v>
      </c>
      <c r="V146" s="14" t="n">
        <v>19.37</v>
      </c>
      <c r="W146" s="14" t="n">
        <v>183.68</v>
      </c>
      <c r="X146" s="14" t="n">
        <v>221.36</v>
      </c>
      <c r="Y146" s="14" t="n">
        <v>37.68</v>
      </c>
      <c r="Z146" s="14" t="n">
        <v>3.2</v>
      </c>
      <c r="AA146" s="14" t="n">
        <v>0</v>
      </c>
      <c r="AB146" s="14" t="n">
        <v>0.06</v>
      </c>
      <c r="AC146" s="14" t="n">
        <v>0.03</v>
      </c>
      <c r="AD146" s="15" t="n">
        <f aca="false">H146*E146/1000</f>
        <v>0</v>
      </c>
      <c r="AE146" s="15" t="n">
        <f aca="false">I146*E146/1000</f>
        <v>0.091</v>
      </c>
      <c r="AF146" s="16" t="n">
        <f aca="false">ROUND(S146+T146+U146+V146-W146,2)</f>
        <v>-0.01</v>
      </c>
      <c r="AG146" s="16" t="n">
        <f aca="false">ROUND(X146-W146-Y146,2)</f>
        <v>0</v>
      </c>
    </row>
    <row r="147" customFormat="false" ht="15" hidden="false" customHeight="false" outlineLevel="0" collapsed="false">
      <c r="A147" s="13" t="s">
        <v>217</v>
      </c>
      <c r="B147" s="13" t="s">
        <v>256</v>
      </c>
      <c r="C147" s="13" t="s">
        <v>241</v>
      </c>
      <c r="D147" s="13" t="s">
        <v>257</v>
      </c>
      <c r="E147" s="14" t="n">
        <v>46.5</v>
      </c>
      <c r="F147" s="14" t="n">
        <v>100</v>
      </c>
      <c r="G147" s="14" t="n">
        <v>4.65</v>
      </c>
      <c r="H147" s="14" t="n">
        <v>4</v>
      </c>
      <c r="I147" s="14"/>
      <c r="J147" s="14" t="n">
        <v>67.23</v>
      </c>
      <c r="K147" s="14" t="n">
        <v>125.01</v>
      </c>
      <c r="L147" s="14" t="n">
        <v>2.33</v>
      </c>
      <c r="M147" s="14" t="n">
        <v>16.47</v>
      </c>
      <c r="N147" s="14" t="n">
        <v>3.9</v>
      </c>
      <c r="O147" s="14" t="n">
        <v>0.45</v>
      </c>
      <c r="P147" s="14" t="n">
        <v>1.5</v>
      </c>
      <c r="Q147" s="14"/>
      <c r="R147" s="14" t="n">
        <v>1.4</v>
      </c>
      <c r="S147" s="14" t="n">
        <v>151.06</v>
      </c>
      <c r="T147" s="14" t="n">
        <v>0.9</v>
      </c>
      <c r="U147" s="14" t="n">
        <v>11.87</v>
      </c>
      <c r="V147" s="14" t="n">
        <v>18.91</v>
      </c>
      <c r="W147" s="14" t="n">
        <v>182.74</v>
      </c>
      <c r="X147" s="14" t="n">
        <v>221.36</v>
      </c>
      <c r="Y147" s="14" t="n">
        <v>38.62</v>
      </c>
      <c r="Z147" s="14" t="n">
        <v>1.62</v>
      </c>
      <c r="AA147" s="14" t="n">
        <v>0.1</v>
      </c>
      <c r="AB147" s="14" t="n">
        <v>0</v>
      </c>
      <c r="AC147" s="14" t="n">
        <v>0.07</v>
      </c>
      <c r="AD147" s="15" t="n">
        <f aca="false">H147*E147/1000</f>
        <v>0.186</v>
      </c>
      <c r="AE147" s="15" t="n">
        <f aca="false">I147*E147/1000</f>
        <v>0</v>
      </c>
      <c r="AF147" s="16" t="n">
        <f aca="false">ROUND(S147+T147+U147+V147-W147,2)</f>
        <v>0</v>
      </c>
      <c r="AG147" s="16" t="n">
        <f aca="false">ROUND(X147-W147-Y147,2)</f>
        <v>0</v>
      </c>
    </row>
    <row r="148" customFormat="false" ht="15" hidden="false" customHeight="false" outlineLevel="0" collapsed="false">
      <c r="A148" s="13" t="s">
        <v>217</v>
      </c>
      <c r="B148" s="13" t="s">
        <v>256</v>
      </c>
      <c r="C148" s="13" t="s">
        <v>241</v>
      </c>
      <c r="D148" s="13" t="s">
        <v>258</v>
      </c>
      <c r="E148" s="14" t="n">
        <v>46.5</v>
      </c>
      <c r="F148" s="14" t="n">
        <v>100</v>
      </c>
      <c r="G148" s="14" t="n">
        <v>4.65</v>
      </c>
      <c r="H148" s="14" t="n">
        <v>3</v>
      </c>
      <c r="I148" s="14"/>
      <c r="J148" s="14" t="n">
        <v>67.23</v>
      </c>
      <c r="K148" s="14" t="n">
        <v>125.01</v>
      </c>
      <c r="L148" s="14" t="n">
        <v>2.33</v>
      </c>
      <c r="M148" s="14" t="n">
        <v>16.47</v>
      </c>
      <c r="N148" s="14" t="n">
        <v>3.9</v>
      </c>
      <c r="O148" s="14" t="n">
        <v>0.45</v>
      </c>
      <c r="P148" s="14" t="n">
        <v>1.5</v>
      </c>
      <c r="Q148" s="14"/>
      <c r="R148" s="14" t="n">
        <v>1.4</v>
      </c>
      <c r="S148" s="14" t="n">
        <v>151.06</v>
      </c>
      <c r="T148" s="14" t="n">
        <v>0.9</v>
      </c>
      <c r="U148" s="14" t="n">
        <v>11.87</v>
      </c>
      <c r="V148" s="14" t="n">
        <v>18.91</v>
      </c>
      <c r="W148" s="14" t="n">
        <v>182.74</v>
      </c>
      <c r="X148" s="14" t="n">
        <v>221.36</v>
      </c>
      <c r="Y148" s="14" t="n">
        <v>38.62</v>
      </c>
      <c r="Z148" s="14" t="n">
        <v>1.67</v>
      </c>
      <c r="AA148" s="14" t="n">
        <v>0.08</v>
      </c>
      <c r="AB148" s="14" t="n">
        <v>0</v>
      </c>
      <c r="AC148" s="14" t="n">
        <v>0.05</v>
      </c>
      <c r="AD148" s="15" t="n">
        <f aca="false">H148*E148/1000</f>
        <v>0.1395</v>
      </c>
      <c r="AE148" s="15" t="n">
        <f aca="false">I148*E148/1000</f>
        <v>0</v>
      </c>
      <c r="AF148" s="16" t="n">
        <f aca="false">ROUND(S148+T148+U148+V148-W148,2)</f>
        <v>0</v>
      </c>
      <c r="AG148" s="16" t="n">
        <f aca="false">ROUND(X148-W148-Y148,2)</f>
        <v>0</v>
      </c>
    </row>
    <row r="149" customFormat="false" ht="15" hidden="false" customHeight="false" outlineLevel="0" collapsed="false">
      <c r="A149" s="13" t="s">
        <v>217</v>
      </c>
      <c r="B149" s="13" t="s">
        <v>256</v>
      </c>
      <c r="C149" s="13" t="s">
        <v>246</v>
      </c>
      <c r="D149" s="13" t="s">
        <v>232</v>
      </c>
      <c r="E149" s="14" t="n">
        <v>50.15</v>
      </c>
      <c r="F149" s="14" t="n">
        <v>282</v>
      </c>
      <c r="G149" s="14" t="n">
        <v>14.14</v>
      </c>
      <c r="H149" s="14"/>
      <c r="I149" s="14" t="n">
        <v>1</v>
      </c>
      <c r="J149" s="14" t="n">
        <v>70.44</v>
      </c>
      <c r="K149" s="14" t="n">
        <v>133.72</v>
      </c>
      <c r="L149" s="14" t="n">
        <v>1.68</v>
      </c>
      <c r="M149" s="14" t="n">
        <v>13.65</v>
      </c>
      <c r="N149" s="14" t="n">
        <v>3.9</v>
      </c>
      <c r="O149" s="14" t="n">
        <v>0.54</v>
      </c>
      <c r="P149" s="14" t="n">
        <v>1.5</v>
      </c>
      <c r="Q149" s="14"/>
      <c r="R149" s="14" t="n">
        <v>1.1</v>
      </c>
      <c r="S149" s="14" t="n">
        <v>156.09</v>
      </c>
      <c r="T149" s="14" t="n">
        <v>0.9</v>
      </c>
      <c r="U149" s="14" t="n">
        <v>10.65</v>
      </c>
      <c r="V149" s="14" t="n">
        <v>16.93</v>
      </c>
      <c r="W149" s="14" t="n">
        <v>184.56</v>
      </c>
      <c r="X149" s="14" t="n">
        <v>234.11</v>
      </c>
      <c r="Y149" s="14" t="n">
        <v>49.55</v>
      </c>
      <c r="Z149" s="14" t="n">
        <v>6.95</v>
      </c>
      <c r="AA149" s="14" t="n">
        <v>0</v>
      </c>
      <c r="AB149" s="14" t="n">
        <v>0.03</v>
      </c>
      <c r="AC149" s="14" t="n">
        <v>0.02</v>
      </c>
      <c r="AD149" s="15" t="n">
        <f aca="false">H149*E149/1000</f>
        <v>0</v>
      </c>
      <c r="AE149" s="15" t="n">
        <f aca="false">I149*E149/1000</f>
        <v>0.05015</v>
      </c>
      <c r="AF149" s="16" t="n">
        <f aca="false">ROUND(S149+T149+U149+V149-W149,2)</f>
        <v>0.01</v>
      </c>
      <c r="AG149" s="16" t="n">
        <f aca="false">ROUND(X149-W149-Y149,2)</f>
        <v>0</v>
      </c>
    </row>
    <row r="150" customFormat="false" ht="15" hidden="false" customHeight="false" outlineLevel="0" collapsed="false">
      <c r="A150" s="13" t="s">
        <v>217</v>
      </c>
      <c r="B150" s="13" t="s">
        <v>256</v>
      </c>
      <c r="C150" s="13" t="s">
        <v>246</v>
      </c>
      <c r="D150" s="13" t="s">
        <v>244</v>
      </c>
      <c r="E150" s="14" t="n">
        <v>37.5</v>
      </c>
      <c r="F150" s="14" t="n">
        <v>256</v>
      </c>
      <c r="G150" s="14" t="n">
        <v>9.6</v>
      </c>
      <c r="H150" s="14" t="n">
        <v>25</v>
      </c>
      <c r="I150" s="14" t="n">
        <v>1</v>
      </c>
      <c r="J150" s="14" t="n">
        <v>63.73</v>
      </c>
      <c r="K150" s="14" t="n">
        <v>134.47</v>
      </c>
      <c r="L150" s="14" t="n">
        <v>1.86</v>
      </c>
      <c r="M150" s="14" t="n">
        <v>12.07</v>
      </c>
      <c r="N150" s="14" t="n">
        <v>3.9</v>
      </c>
      <c r="O150" s="14" t="n">
        <v>0.54</v>
      </c>
      <c r="P150" s="14" t="n">
        <v>1.5</v>
      </c>
      <c r="Q150" s="14"/>
      <c r="R150" s="14" t="n">
        <v>1.1</v>
      </c>
      <c r="S150" s="14" t="n">
        <v>155.44</v>
      </c>
      <c r="T150" s="14" t="n">
        <v>0.9</v>
      </c>
      <c r="U150" s="14" t="n">
        <v>10.65</v>
      </c>
      <c r="V150" s="14" t="n">
        <v>17.9</v>
      </c>
      <c r="W150" s="14" t="n">
        <v>184.9</v>
      </c>
      <c r="X150" s="14" t="n">
        <v>234.11</v>
      </c>
      <c r="Y150" s="14" t="n">
        <v>49.21</v>
      </c>
      <c r="Z150" s="14" t="n">
        <v>3.76</v>
      </c>
      <c r="AA150" s="14" t="n">
        <v>0.46</v>
      </c>
      <c r="AB150" s="14" t="n">
        <v>0.02</v>
      </c>
      <c r="AC150" s="14" t="n">
        <v>0.48</v>
      </c>
      <c r="AD150" s="15" t="n">
        <f aca="false">H150*E150/1000</f>
        <v>0.9375</v>
      </c>
      <c r="AE150" s="15" t="n">
        <f aca="false">I150*E150/1000</f>
        <v>0.0375</v>
      </c>
      <c r="AF150" s="16" t="n">
        <f aca="false">ROUND(S150+T150+U150+V150-W150,2)</f>
        <v>-0.01</v>
      </c>
      <c r="AG150" s="16" t="n">
        <f aca="false">ROUND(X150-W150-Y150,2)</f>
        <v>0</v>
      </c>
    </row>
    <row r="151" customFormat="false" ht="15" hidden="false" customHeight="false" outlineLevel="0" collapsed="false">
      <c r="A151" s="13" t="s">
        <v>217</v>
      </c>
      <c r="B151" s="13" t="s">
        <v>256</v>
      </c>
      <c r="C151" s="13" t="s">
        <v>246</v>
      </c>
      <c r="D151" s="13" t="s">
        <v>270</v>
      </c>
      <c r="E151" s="14" t="n">
        <v>472</v>
      </c>
      <c r="F151" s="14" t="n">
        <v>90</v>
      </c>
      <c r="G151" s="14" t="n">
        <v>42.48</v>
      </c>
      <c r="H151" s="14" t="n">
        <v>9</v>
      </c>
      <c r="I151" s="14" t="n">
        <v>5</v>
      </c>
      <c r="J151" s="14" t="n">
        <v>73.14</v>
      </c>
      <c r="K151" s="14" t="n">
        <v>133.45</v>
      </c>
      <c r="L151" s="14" t="n">
        <v>1.62</v>
      </c>
      <c r="M151" s="14" t="n">
        <v>13.75</v>
      </c>
      <c r="N151" s="14" t="n">
        <v>3.9</v>
      </c>
      <c r="O151" s="14"/>
      <c r="P151" s="14" t="n">
        <v>1.5</v>
      </c>
      <c r="Q151" s="14"/>
      <c r="R151" s="14"/>
      <c r="S151" s="14" t="n">
        <v>154.22</v>
      </c>
      <c r="T151" s="14" t="n">
        <v>0.9</v>
      </c>
      <c r="U151" s="14" t="n">
        <v>10.65</v>
      </c>
      <c r="V151" s="14" t="n">
        <v>16.58</v>
      </c>
      <c r="W151" s="14" t="n">
        <v>182.35</v>
      </c>
      <c r="X151" s="14" t="n">
        <v>223.46</v>
      </c>
      <c r="Y151" s="14" t="n">
        <v>41.11</v>
      </c>
      <c r="Z151" s="14" t="n">
        <v>11.39</v>
      </c>
      <c r="AA151" s="14" t="n">
        <v>2.06</v>
      </c>
      <c r="AB151" s="14" t="n">
        <v>1.3</v>
      </c>
      <c r="AC151" s="14" t="n">
        <v>2.72</v>
      </c>
      <c r="AD151" s="15" t="n">
        <f aca="false">H151*E151/1000</f>
        <v>4.248</v>
      </c>
      <c r="AE151" s="15" t="n">
        <f aca="false">I151*E151/1000</f>
        <v>2.36</v>
      </c>
      <c r="AF151" s="16" t="n">
        <f aca="false">ROUND(S151+T151+U151+V151-W151,2)</f>
        <v>0</v>
      </c>
      <c r="AG151" s="16" t="n">
        <f aca="false">ROUND(X151-W151-Y151,2)</f>
        <v>0</v>
      </c>
    </row>
    <row r="152" customFormat="false" ht="15" hidden="false" customHeight="false" outlineLevel="0" collapsed="false">
      <c r="A152" s="13" t="s">
        <v>217</v>
      </c>
      <c r="B152" s="13" t="s">
        <v>256</v>
      </c>
      <c r="C152" s="13" t="s">
        <v>246</v>
      </c>
      <c r="D152" s="13" t="s">
        <v>251</v>
      </c>
      <c r="E152" s="14" t="n">
        <v>63</v>
      </c>
      <c r="F152" s="14" t="n">
        <v>45</v>
      </c>
      <c r="G152" s="14" t="n">
        <v>2.84</v>
      </c>
      <c r="H152" s="14" t="n">
        <v>1</v>
      </c>
      <c r="I152" s="14"/>
      <c r="J152" s="14" t="n">
        <v>66.67</v>
      </c>
      <c r="K152" s="14" t="n">
        <v>134.12</v>
      </c>
      <c r="L152" s="14" t="n">
        <v>1.78</v>
      </c>
      <c r="M152" s="14" t="n">
        <v>11.88</v>
      </c>
      <c r="N152" s="14" t="n">
        <v>3.9</v>
      </c>
      <c r="O152" s="14" t="n">
        <v>0.45</v>
      </c>
      <c r="P152" s="14" t="n">
        <v>1.5</v>
      </c>
      <c r="Q152" s="14"/>
      <c r="R152" s="14" t="n">
        <v>1.4</v>
      </c>
      <c r="S152" s="14" t="n">
        <v>155.03</v>
      </c>
      <c r="T152" s="14" t="n">
        <v>0.9</v>
      </c>
      <c r="U152" s="14" t="n">
        <v>10.65</v>
      </c>
      <c r="V152" s="14" t="n">
        <v>17.45</v>
      </c>
      <c r="W152" s="14" t="n">
        <v>184.03</v>
      </c>
      <c r="X152" s="14" t="n">
        <v>223.46</v>
      </c>
      <c r="Y152" s="14" t="n">
        <v>39.43</v>
      </c>
      <c r="Z152" s="14" t="n">
        <v>1.06</v>
      </c>
      <c r="AA152" s="14" t="n">
        <v>0.03</v>
      </c>
      <c r="AB152" s="14" t="n">
        <v>0</v>
      </c>
      <c r="AC152" s="14" t="n">
        <v>0.02</v>
      </c>
      <c r="AD152" s="15" t="n">
        <f aca="false">H152*E152/1000</f>
        <v>0.063</v>
      </c>
      <c r="AE152" s="15" t="n">
        <f aca="false">I152*E152/1000</f>
        <v>0</v>
      </c>
      <c r="AF152" s="16" t="n">
        <f aca="false">ROUND(S152+T152+U152+V152-W152,2)</f>
        <v>0</v>
      </c>
      <c r="AG152" s="16" t="n">
        <f aca="false">ROUND(X152-W152-Y152,2)</f>
        <v>0</v>
      </c>
    </row>
    <row r="153" customFormat="false" ht="15" hidden="false" customHeight="false" outlineLevel="0" collapsed="false">
      <c r="A153" s="13" t="s">
        <v>217</v>
      </c>
      <c r="B153" s="13" t="s">
        <v>256</v>
      </c>
      <c r="C153" s="13" t="s">
        <v>246</v>
      </c>
      <c r="D153" s="13" t="s">
        <v>252</v>
      </c>
      <c r="E153" s="14" t="n">
        <v>47</v>
      </c>
      <c r="F153" s="14" t="n">
        <v>48</v>
      </c>
      <c r="G153" s="14" t="n">
        <v>2.26</v>
      </c>
      <c r="H153" s="14" t="n">
        <v>1</v>
      </c>
      <c r="I153" s="14"/>
      <c r="J153" s="14" t="n">
        <v>68.2</v>
      </c>
      <c r="K153" s="14" t="n">
        <v>133.95</v>
      </c>
      <c r="L153" s="14" t="n">
        <v>1.74</v>
      </c>
      <c r="M153" s="14" t="n">
        <v>11.08</v>
      </c>
      <c r="N153" s="14" t="n">
        <v>3.9</v>
      </c>
      <c r="O153" s="14" t="n">
        <v>0.45</v>
      </c>
      <c r="P153" s="14" t="n">
        <v>1.5</v>
      </c>
      <c r="Q153" s="14"/>
      <c r="R153" s="14" t="n">
        <v>1.4</v>
      </c>
      <c r="S153" s="14" t="n">
        <v>154.02</v>
      </c>
      <c r="T153" s="14" t="n">
        <v>0.9</v>
      </c>
      <c r="U153" s="14" t="n">
        <v>10.65</v>
      </c>
      <c r="V153" s="14" t="n">
        <v>17.23</v>
      </c>
      <c r="W153" s="14" t="n">
        <v>182.8</v>
      </c>
      <c r="X153" s="14" t="n">
        <v>223.46</v>
      </c>
      <c r="Y153" s="14" t="n">
        <v>40.66</v>
      </c>
      <c r="Z153" s="14" t="n">
        <v>0.88</v>
      </c>
      <c r="AA153" s="14" t="n">
        <v>0.02</v>
      </c>
      <c r="AB153" s="14" t="n">
        <v>0</v>
      </c>
      <c r="AC153" s="14" t="n">
        <v>0.02</v>
      </c>
      <c r="AD153" s="15" t="n">
        <f aca="false">H153*E153/1000</f>
        <v>0.047</v>
      </c>
      <c r="AE153" s="15" t="n">
        <f aca="false">I153*E153/1000</f>
        <v>0</v>
      </c>
      <c r="AF153" s="16" t="n">
        <f aca="false">ROUND(S153+T153+U153+V153-W153,2)</f>
        <v>0</v>
      </c>
      <c r="AG153" s="16" t="n">
        <f aca="false">ROUND(X153-W153-Y153,2)</f>
        <v>0</v>
      </c>
    </row>
    <row r="154" customFormat="false" ht="15" hidden="false" customHeight="false" outlineLevel="0" collapsed="false">
      <c r="A154" s="13" t="s">
        <v>217</v>
      </c>
      <c r="B154" s="13" t="s">
        <v>256</v>
      </c>
      <c r="C154" s="13" t="s">
        <v>246</v>
      </c>
      <c r="D154" s="13" t="s">
        <v>253</v>
      </c>
      <c r="E154" s="14" t="n">
        <v>32.7</v>
      </c>
      <c r="F154" s="14" t="n">
        <v>292</v>
      </c>
      <c r="G154" s="14" t="n">
        <v>9.55</v>
      </c>
      <c r="H154" s="14"/>
      <c r="I154" s="14"/>
      <c r="J154" s="14" t="n">
        <v>62.55</v>
      </c>
      <c r="K154" s="14" t="n">
        <v>134.62</v>
      </c>
      <c r="L154" s="14" t="n">
        <v>1.89</v>
      </c>
      <c r="M154" s="14" t="n">
        <v>13.09</v>
      </c>
      <c r="N154" s="14" t="n">
        <v>3.9</v>
      </c>
      <c r="O154" s="14" t="n">
        <v>0.45</v>
      </c>
      <c r="P154" s="14" t="n">
        <v>1.5</v>
      </c>
      <c r="Q154" s="14"/>
      <c r="R154" s="14" t="n">
        <v>1.1</v>
      </c>
      <c r="S154" s="14" t="n">
        <v>156.56</v>
      </c>
      <c r="T154" s="14" t="n">
        <v>0.9</v>
      </c>
      <c r="U154" s="14" t="n">
        <v>10.65</v>
      </c>
      <c r="V154" s="14" t="n">
        <v>18.09</v>
      </c>
      <c r="W154" s="14" t="n">
        <v>186.2</v>
      </c>
      <c r="X154" s="14" t="n">
        <v>234.11</v>
      </c>
      <c r="Y154" s="14" t="n">
        <v>47.91</v>
      </c>
      <c r="Z154" s="14" t="n">
        <v>4.57</v>
      </c>
      <c r="AA154" s="14" t="n">
        <v>0</v>
      </c>
      <c r="AB154" s="14" t="n">
        <v>0</v>
      </c>
      <c r="AC154" s="14" t="n">
        <v>0</v>
      </c>
      <c r="AD154" s="15" t="n">
        <f aca="false">H154*E154/1000</f>
        <v>0</v>
      </c>
      <c r="AE154" s="15" t="n">
        <f aca="false">I154*E154/1000</f>
        <v>0</v>
      </c>
      <c r="AF154" s="16" t="n">
        <f aca="false">ROUND(S154+T154+U154+V154-W154,2)</f>
        <v>0</v>
      </c>
      <c r="AG154" s="16" t="n">
        <f aca="false">ROUND(X154-W154-Y154,2)</f>
        <v>0</v>
      </c>
    </row>
    <row r="155" customFormat="false" ht="15" hidden="false" customHeight="false" outlineLevel="0" collapsed="false">
      <c r="A155" s="13" t="s">
        <v>217</v>
      </c>
      <c r="B155" s="13" t="s">
        <v>277</v>
      </c>
      <c r="C155" s="13" t="s">
        <v>219</v>
      </c>
      <c r="D155" s="13" t="s">
        <v>232</v>
      </c>
      <c r="E155" s="14" t="n">
        <v>50.15</v>
      </c>
      <c r="F155" s="14" t="n">
        <v>359</v>
      </c>
      <c r="G155" s="14" t="n">
        <v>18</v>
      </c>
      <c r="H155" s="14" t="n">
        <v>31</v>
      </c>
      <c r="I155" s="14" t="n">
        <v>1</v>
      </c>
      <c r="J155" s="14" t="n">
        <v>70.44</v>
      </c>
      <c r="K155" s="14" t="n">
        <v>130.84</v>
      </c>
      <c r="L155" s="14" t="n">
        <v>2.38</v>
      </c>
      <c r="M155" s="14" t="n">
        <v>15.55</v>
      </c>
      <c r="N155" s="14" t="n">
        <v>4.93</v>
      </c>
      <c r="O155" s="14" t="n">
        <v>0.54</v>
      </c>
      <c r="P155" s="14" t="n">
        <v>1.5</v>
      </c>
      <c r="Q155" s="14"/>
      <c r="R155" s="14" t="n">
        <v>1.1</v>
      </c>
      <c r="S155" s="14" t="n">
        <v>156.84</v>
      </c>
      <c r="T155" s="14" t="n">
        <v>0.9</v>
      </c>
      <c r="U155" s="14" t="n">
        <v>10.65</v>
      </c>
      <c r="V155" s="14" t="n">
        <v>18.79</v>
      </c>
      <c r="W155" s="14" t="n">
        <v>187.18</v>
      </c>
      <c r="X155" s="14" t="n">
        <v>234.11</v>
      </c>
      <c r="Y155" s="14" t="n">
        <v>46.93</v>
      </c>
      <c r="Z155" s="14" t="n">
        <v>6.84</v>
      </c>
      <c r="AA155" s="14" t="n">
        <v>0.83</v>
      </c>
      <c r="AB155" s="14" t="n">
        <v>0.03</v>
      </c>
      <c r="AC155" s="14" t="n">
        <v>0.75</v>
      </c>
      <c r="AD155" s="15" t="n">
        <f aca="false">H155*E155/1000</f>
        <v>1.55465</v>
      </c>
      <c r="AE155" s="15" t="n">
        <f aca="false">I155*E155/1000</f>
        <v>0.05015</v>
      </c>
      <c r="AF155" s="16" t="n">
        <f aca="false">ROUND(S155+T155+U155+V155-W155,2)</f>
        <v>0</v>
      </c>
      <c r="AG155" s="16" t="n">
        <f aca="false">ROUND(X155-W155-Y155,2)</f>
        <v>0</v>
      </c>
    </row>
    <row r="156" customFormat="false" ht="15" hidden="false" customHeight="false" outlineLevel="0" collapsed="false">
      <c r="A156" s="13" t="s">
        <v>217</v>
      </c>
      <c r="B156" s="13" t="s">
        <v>277</v>
      </c>
      <c r="C156" s="13" t="s">
        <v>219</v>
      </c>
      <c r="D156" s="13" t="s">
        <v>244</v>
      </c>
      <c r="E156" s="14" t="n">
        <v>37.5</v>
      </c>
      <c r="F156" s="14" t="n">
        <v>24</v>
      </c>
      <c r="G156" s="14" t="n">
        <v>0.9</v>
      </c>
      <c r="H156" s="14" t="n">
        <v>4</v>
      </c>
      <c r="I156" s="14" t="n">
        <v>1</v>
      </c>
      <c r="J156" s="14" t="n">
        <v>63.73</v>
      </c>
      <c r="K156" s="14" t="n">
        <v>131.58</v>
      </c>
      <c r="L156" s="14" t="n">
        <v>2.64</v>
      </c>
      <c r="M156" s="14" t="n">
        <v>13.62</v>
      </c>
      <c r="N156" s="14" t="n">
        <v>4.93</v>
      </c>
      <c r="O156" s="14" t="n">
        <v>0.54</v>
      </c>
      <c r="P156" s="14" t="n">
        <v>1.5</v>
      </c>
      <c r="Q156" s="14"/>
      <c r="R156" s="14" t="n">
        <v>1.1</v>
      </c>
      <c r="S156" s="14" t="n">
        <v>155.9</v>
      </c>
      <c r="T156" s="14" t="n">
        <v>0.9</v>
      </c>
      <c r="U156" s="14" t="n">
        <v>10.65</v>
      </c>
      <c r="V156" s="14" t="n">
        <v>19.77</v>
      </c>
      <c r="W156" s="14" t="n">
        <v>187.22</v>
      </c>
      <c r="X156" s="14" t="n">
        <v>234.11</v>
      </c>
      <c r="Y156" s="14" t="n">
        <v>46.89</v>
      </c>
      <c r="Z156" s="14" t="n">
        <v>0.23</v>
      </c>
      <c r="AA156" s="14" t="n">
        <v>0.08</v>
      </c>
      <c r="AB156" s="14" t="n">
        <v>0.02</v>
      </c>
      <c r="AC156" s="14" t="n">
        <v>0.09</v>
      </c>
      <c r="AD156" s="15" t="n">
        <f aca="false">H156*E156/1000</f>
        <v>0.15</v>
      </c>
      <c r="AE156" s="15" t="n">
        <f aca="false">I156*E156/1000</f>
        <v>0.0375</v>
      </c>
      <c r="AF156" s="16" t="n">
        <f aca="false">ROUND(S156+T156+U156+V156-W156,2)</f>
        <v>0</v>
      </c>
      <c r="AG156" s="16" t="n">
        <f aca="false">ROUND(X156-W156-Y156,2)</f>
        <v>0</v>
      </c>
    </row>
    <row r="157" customFormat="false" ht="15" hidden="false" customHeight="false" outlineLevel="0" collapsed="false">
      <c r="A157" s="13" t="s">
        <v>217</v>
      </c>
      <c r="B157" s="13" t="s">
        <v>277</v>
      </c>
      <c r="C157" s="13" t="s">
        <v>219</v>
      </c>
      <c r="D157" s="13" t="s">
        <v>253</v>
      </c>
      <c r="E157" s="14" t="n">
        <v>32.7</v>
      </c>
      <c r="F157" s="14" t="n">
        <v>20</v>
      </c>
      <c r="G157" s="14" t="n">
        <v>0.654</v>
      </c>
      <c r="H157" s="14" t="n">
        <v>18</v>
      </c>
      <c r="I157" s="14" t="n">
        <v>1</v>
      </c>
      <c r="J157" s="14" t="n">
        <v>62.55</v>
      </c>
      <c r="K157" s="14" t="n">
        <v>131.73</v>
      </c>
      <c r="L157" s="14" t="n">
        <v>2.69</v>
      </c>
      <c r="M157" s="14" t="n">
        <v>14.77</v>
      </c>
      <c r="N157" s="14" t="n">
        <v>4.93</v>
      </c>
      <c r="O157" s="14" t="n">
        <v>0.45</v>
      </c>
      <c r="P157" s="14" t="n">
        <v>1.5</v>
      </c>
      <c r="Q157" s="14"/>
      <c r="R157" s="14" t="n">
        <v>1.1</v>
      </c>
      <c r="S157" s="14" t="n">
        <v>157.16</v>
      </c>
      <c r="T157" s="14" t="n">
        <v>0.9</v>
      </c>
      <c r="U157" s="14" t="n">
        <v>10.65</v>
      </c>
      <c r="V157" s="14" t="n">
        <v>19.96</v>
      </c>
      <c r="W157" s="14" t="n">
        <v>188.67</v>
      </c>
      <c r="X157" s="14" t="n">
        <v>234.11</v>
      </c>
      <c r="Y157" s="14" t="n">
        <v>45.44</v>
      </c>
      <c r="Z157" s="14" t="n">
        <v>-0.33</v>
      </c>
      <c r="AA157" s="14" t="n">
        <v>0.32</v>
      </c>
      <c r="AB157" s="14" t="n">
        <v>0.02</v>
      </c>
      <c r="AC157" s="14" t="n">
        <v>0.28</v>
      </c>
      <c r="AD157" s="15" t="n">
        <f aca="false">H157*E157/1000</f>
        <v>0.5886</v>
      </c>
      <c r="AE157" s="15" t="n">
        <f aca="false">I157*E157/1000</f>
        <v>0.0327</v>
      </c>
      <c r="AF157" s="16" t="n">
        <f aca="false">ROUND(S157+T157+U157+V157-W157,2)</f>
        <v>0</v>
      </c>
      <c r="AG157" s="16" t="n">
        <f aca="false">ROUND(X157-W157-Y157,2)</f>
        <v>0</v>
      </c>
    </row>
    <row r="158" customFormat="false" ht="15" hidden="false" customHeight="false" outlineLevel="0" collapsed="false">
      <c r="A158" s="13" t="s">
        <v>217</v>
      </c>
      <c r="B158" s="13" t="s">
        <v>277</v>
      </c>
      <c r="C158" s="13" t="s">
        <v>226</v>
      </c>
      <c r="D158" s="13" t="s">
        <v>270</v>
      </c>
      <c r="E158" s="14" t="n">
        <v>472</v>
      </c>
      <c r="F158" s="14" t="n">
        <v>60</v>
      </c>
      <c r="G158" s="14" t="n">
        <v>28.32</v>
      </c>
      <c r="H158" s="14"/>
      <c r="I158" s="14"/>
      <c r="J158" s="14" t="n">
        <v>73.14</v>
      </c>
      <c r="K158" s="14" t="n">
        <v>128.35</v>
      </c>
      <c r="L158" s="14" t="n">
        <v>2.3</v>
      </c>
      <c r="M158" s="14" t="n">
        <v>16.95</v>
      </c>
      <c r="N158" s="14" t="n">
        <v>4.93</v>
      </c>
      <c r="O158" s="14"/>
      <c r="P158" s="14" t="n">
        <v>1.5</v>
      </c>
      <c r="Q158" s="14"/>
      <c r="R158" s="14"/>
      <c r="S158" s="14" t="n">
        <v>154.03</v>
      </c>
      <c r="T158" s="14" t="n">
        <v>0.9</v>
      </c>
      <c r="U158" s="14" t="n">
        <v>10.65</v>
      </c>
      <c r="V158" s="14" t="n">
        <v>18.45</v>
      </c>
      <c r="W158" s="14" t="n">
        <v>184.03</v>
      </c>
      <c r="X158" s="14" t="n">
        <v>235.53</v>
      </c>
      <c r="Y158" s="14" t="n">
        <v>51.5</v>
      </c>
      <c r="Z158" s="14" t="n">
        <v>14.59</v>
      </c>
      <c r="AA158" s="14" t="n">
        <v>0</v>
      </c>
      <c r="AB158" s="14" t="n">
        <v>0</v>
      </c>
      <c r="AC158" s="14" t="n">
        <v>0</v>
      </c>
      <c r="AD158" s="15" t="n">
        <f aca="false">H158*E158/1000</f>
        <v>0</v>
      </c>
      <c r="AE158" s="15" t="n">
        <f aca="false">I158*E158/1000</f>
        <v>0</v>
      </c>
      <c r="AF158" s="16" t="n">
        <f aca="false">ROUND(S158+T158+U158+V158-W158,2)</f>
        <v>0</v>
      </c>
      <c r="AG158" s="16" t="n">
        <f aca="false">ROUND(X158-W158-Y158,2)</f>
        <v>0</v>
      </c>
    </row>
    <row r="159" customFormat="false" ht="15" hidden="false" customHeight="false" outlineLevel="0" collapsed="false">
      <c r="A159" s="13" t="s">
        <v>217</v>
      </c>
      <c r="B159" s="13" t="s">
        <v>277</v>
      </c>
      <c r="C159" s="13" t="s">
        <v>226</v>
      </c>
      <c r="D159" s="13" t="s">
        <v>251</v>
      </c>
      <c r="E159" s="14" t="n">
        <v>63</v>
      </c>
      <c r="F159" s="14" t="n">
        <v>147</v>
      </c>
      <c r="G159" s="14" t="n">
        <v>9.261</v>
      </c>
      <c r="H159" s="14" t="n">
        <v>10</v>
      </c>
      <c r="I159" s="14" t="n">
        <v>1</v>
      </c>
      <c r="J159" s="14" t="n">
        <v>66.67</v>
      </c>
      <c r="K159" s="14" t="n">
        <v>128.99</v>
      </c>
      <c r="L159" s="14" t="n">
        <v>2.52</v>
      </c>
      <c r="M159" s="14" t="n">
        <v>14.68</v>
      </c>
      <c r="N159" s="14" t="n">
        <v>4.93</v>
      </c>
      <c r="O159" s="14" t="n">
        <v>0.56</v>
      </c>
      <c r="P159" s="14" t="n">
        <v>1.5</v>
      </c>
      <c r="Q159" s="14"/>
      <c r="R159" s="14" t="n">
        <v>1.4</v>
      </c>
      <c r="S159" s="14" t="n">
        <v>154.58</v>
      </c>
      <c r="T159" s="14" t="n">
        <v>0.9</v>
      </c>
      <c r="U159" s="14" t="n">
        <v>10.65</v>
      </c>
      <c r="V159" s="14" t="n">
        <v>19.31</v>
      </c>
      <c r="W159" s="14" t="n">
        <v>185.44</v>
      </c>
      <c r="X159" s="14" t="n">
        <v>230.46</v>
      </c>
      <c r="Y159" s="14" t="n">
        <v>45.02</v>
      </c>
      <c r="Z159" s="14" t="n">
        <v>3.48</v>
      </c>
      <c r="AA159" s="14" t="n">
        <v>0.34</v>
      </c>
      <c r="AB159" s="14" t="n">
        <v>0.04</v>
      </c>
      <c r="AC159" s="14" t="n">
        <v>0.31</v>
      </c>
      <c r="AD159" s="15" t="n">
        <f aca="false">H159*E159/1000</f>
        <v>0.63</v>
      </c>
      <c r="AE159" s="15" t="n">
        <f aca="false">I159*E159/1000</f>
        <v>0.063</v>
      </c>
      <c r="AF159" s="16" t="n">
        <f aca="false">ROUND(S159+T159+U159+V159-W159,2)</f>
        <v>0</v>
      </c>
      <c r="AG159" s="16" t="n">
        <f aca="false">ROUND(X159-W159-Y159,2)</f>
        <v>0</v>
      </c>
    </row>
    <row r="160" customFormat="false" ht="15" hidden="false" customHeight="false" outlineLevel="0" collapsed="false">
      <c r="A160" s="13" t="s">
        <v>217</v>
      </c>
      <c r="B160" s="13" t="s">
        <v>277</v>
      </c>
      <c r="C160" s="13" t="s">
        <v>226</v>
      </c>
      <c r="D160" s="13" t="s">
        <v>278</v>
      </c>
      <c r="E160" s="14" t="n">
        <v>48</v>
      </c>
      <c r="F160" s="14" t="n">
        <v>140</v>
      </c>
      <c r="G160" s="14" t="n">
        <v>6.72</v>
      </c>
      <c r="H160" s="14" t="n">
        <v>2</v>
      </c>
      <c r="I160" s="14"/>
      <c r="J160" s="14" t="n">
        <v>68.2</v>
      </c>
      <c r="K160" s="14" t="n">
        <v>128.83</v>
      </c>
      <c r="L160" s="14" t="n">
        <v>2.46</v>
      </c>
      <c r="M160" s="14" t="n">
        <v>12.62</v>
      </c>
      <c r="N160" s="14" t="n">
        <v>4.93</v>
      </c>
      <c r="O160" s="14" t="n">
        <v>0.56</v>
      </c>
      <c r="P160" s="14" t="n">
        <v>1.5</v>
      </c>
      <c r="Q160" s="14"/>
      <c r="R160" s="14" t="n">
        <v>1.4</v>
      </c>
      <c r="S160" s="14" t="n">
        <v>152.3</v>
      </c>
      <c r="T160" s="14" t="n">
        <v>0.9</v>
      </c>
      <c r="U160" s="14" t="n">
        <v>10.65</v>
      </c>
      <c r="V160" s="14" t="n">
        <v>19.09</v>
      </c>
      <c r="W160" s="14" t="n">
        <v>182.95</v>
      </c>
      <c r="X160" s="14" t="n">
        <v>230.46</v>
      </c>
      <c r="Y160" s="14" t="n">
        <v>47.51</v>
      </c>
      <c r="Z160" s="14" t="n">
        <v>3.1</v>
      </c>
      <c r="AA160" s="14" t="n">
        <v>0.05</v>
      </c>
      <c r="AB160" s="14" t="n">
        <v>0</v>
      </c>
      <c r="AC160" s="14" t="n">
        <v>0.05</v>
      </c>
      <c r="AD160" s="15" t="n">
        <f aca="false">H160*E160/1000</f>
        <v>0.096</v>
      </c>
      <c r="AE160" s="15" t="n">
        <f aca="false">I160*E160/1000</f>
        <v>0</v>
      </c>
      <c r="AF160" s="16" t="n">
        <f aca="false">ROUND(S160+T160+U160+V160-W160,2)</f>
        <v>-0.01</v>
      </c>
      <c r="AG160" s="16" t="n">
        <f aca="false">ROUND(X160-W160-Y160,2)</f>
        <v>0</v>
      </c>
    </row>
    <row r="161" customFormat="false" ht="15" hidden="false" customHeight="false" outlineLevel="0" collapsed="false">
      <c r="A161" s="13" t="s">
        <v>217</v>
      </c>
      <c r="B161" s="13" t="s">
        <v>277</v>
      </c>
      <c r="C161" s="13" t="s">
        <v>226</v>
      </c>
      <c r="D161" s="13" t="s">
        <v>274</v>
      </c>
      <c r="E161" s="14" t="n">
        <v>112</v>
      </c>
      <c r="F161" s="14" t="n">
        <v>86</v>
      </c>
      <c r="G161" s="14" t="n">
        <v>9.632</v>
      </c>
      <c r="H161" s="14" t="n">
        <v>4</v>
      </c>
      <c r="I161" s="14" t="n">
        <v>3</v>
      </c>
      <c r="J161" s="14" t="n">
        <v>71.57</v>
      </c>
      <c r="K161" s="14" t="n">
        <v>128.49</v>
      </c>
      <c r="L161" s="14" t="n">
        <v>2.35</v>
      </c>
      <c r="M161" s="14" t="n">
        <v>25.5</v>
      </c>
      <c r="N161" s="14" t="n">
        <v>4.93</v>
      </c>
      <c r="O161" s="14" t="n">
        <v>0.56</v>
      </c>
      <c r="P161" s="14" t="n">
        <v>1.5</v>
      </c>
      <c r="Q161" s="14"/>
      <c r="R161" s="14" t="n">
        <v>1.1</v>
      </c>
      <c r="S161" s="14" t="n">
        <v>164.43</v>
      </c>
      <c r="T161" s="14" t="n">
        <v>0.9</v>
      </c>
      <c r="U161" s="14" t="n">
        <v>10.65</v>
      </c>
      <c r="V161" s="14" t="n">
        <v>18.64</v>
      </c>
      <c r="W161" s="14" t="n">
        <v>194.62</v>
      </c>
      <c r="X161" s="14" t="n">
        <v>235.53</v>
      </c>
      <c r="Y161" s="14" t="n">
        <v>40.91</v>
      </c>
      <c r="Z161" s="14" t="n">
        <v>3.1</v>
      </c>
      <c r="AA161" s="14" t="n">
        <v>0.28</v>
      </c>
      <c r="AB161" s="14" t="n">
        <v>0.24</v>
      </c>
      <c r="AC161" s="14" t="n">
        <v>0.32</v>
      </c>
      <c r="AD161" s="15" t="n">
        <f aca="false">H161*E161/1000</f>
        <v>0.448</v>
      </c>
      <c r="AE161" s="15" t="n">
        <f aca="false">I161*E161/1000</f>
        <v>0.336</v>
      </c>
      <c r="AF161" s="16" t="n">
        <f aca="false">ROUND(S161+T161+U161+V161-W161,2)</f>
        <v>0</v>
      </c>
      <c r="AG161" s="16" t="n">
        <f aca="false">ROUND(X161-W161-Y161,2)</f>
        <v>0</v>
      </c>
    </row>
    <row r="162" customFormat="false" ht="15" hidden="false" customHeight="false" outlineLevel="0" collapsed="false">
      <c r="A162" s="13" t="s">
        <v>217</v>
      </c>
      <c r="B162" s="13" t="s">
        <v>277</v>
      </c>
      <c r="C162" s="13" t="s">
        <v>226</v>
      </c>
      <c r="D162" s="13" t="s">
        <v>279</v>
      </c>
      <c r="E162" s="14" t="n">
        <v>350</v>
      </c>
      <c r="F162" s="14" t="n">
        <v>1</v>
      </c>
      <c r="G162" s="14" t="n">
        <v>0.35</v>
      </c>
      <c r="H162" s="14"/>
      <c r="I162" s="14"/>
      <c r="J162" s="14" t="n">
        <v>66.67</v>
      </c>
      <c r="K162" s="14" t="n">
        <v>128.99</v>
      </c>
      <c r="L162" s="14" t="n">
        <v>2.52</v>
      </c>
      <c r="M162" s="14" t="n">
        <v>14.81</v>
      </c>
      <c r="N162" s="14" t="n">
        <v>4.93</v>
      </c>
      <c r="O162" s="14"/>
      <c r="P162" s="14" t="n">
        <v>1.5</v>
      </c>
      <c r="Q162" s="14"/>
      <c r="R162" s="14"/>
      <c r="S162" s="14" t="n">
        <v>152.76</v>
      </c>
      <c r="T162" s="14" t="n">
        <v>0.9</v>
      </c>
      <c r="U162" s="14" t="n">
        <v>10.65</v>
      </c>
      <c r="V162" s="14" t="n">
        <v>19.31</v>
      </c>
      <c r="W162" s="14" t="n">
        <v>183.62</v>
      </c>
      <c r="X162" s="14" t="n">
        <v>235.53</v>
      </c>
      <c r="Y162" s="14" t="n">
        <v>51.91</v>
      </c>
      <c r="Z162" s="14" t="n">
        <v>0.18</v>
      </c>
      <c r="AA162" s="14" t="n">
        <v>0</v>
      </c>
      <c r="AB162" s="14" t="n">
        <v>0</v>
      </c>
      <c r="AC162" s="14" t="n">
        <v>0</v>
      </c>
      <c r="AD162" s="15" t="n">
        <f aca="false">H162*E162/1000</f>
        <v>0</v>
      </c>
      <c r="AE162" s="15" t="n">
        <f aca="false">I162*E162/1000</f>
        <v>0</v>
      </c>
      <c r="AF162" s="16" t="n">
        <f aca="false">ROUND(S162+T162+U162+V162-W162,2)</f>
        <v>0</v>
      </c>
      <c r="AG162" s="16" t="n">
        <f aca="false">ROUND(X162-W162-Y162,2)</f>
        <v>0</v>
      </c>
    </row>
    <row r="163" customFormat="false" ht="15" hidden="false" customHeight="false" outlineLevel="0" collapsed="false">
      <c r="A163" s="13" t="s">
        <v>217</v>
      </c>
      <c r="B163" s="13" t="s">
        <v>277</v>
      </c>
      <c r="C163" s="13" t="s">
        <v>226</v>
      </c>
      <c r="D163" s="13" t="s">
        <v>280</v>
      </c>
      <c r="E163" s="14" t="n">
        <v>238</v>
      </c>
      <c r="F163" s="14" t="n">
        <v>3</v>
      </c>
      <c r="G163" s="14" t="n">
        <v>0.714</v>
      </c>
      <c r="H163" s="14"/>
      <c r="I163" s="14"/>
      <c r="J163" s="14" t="n">
        <v>70.59</v>
      </c>
      <c r="K163" s="14" t="n">
        <v>128.59</v>
      </c>
      <c r="L163" s="14" t="n">
        <v>2.38</v>
      </c>
      <c r="M163" s="14" t="n">
        <v>14.6</v>
      </c>
      <c r="N163" s="14" t="n">
        <v>4.93</v>
      </c>
      <c r="O163" s="14"/>
      <c r="P163" s="14" t="n">
        <v>1.5</v>
      </c>
      <c r="Q163" s="14"/>
      <c r="R163" s="14"/>
      <c r="S163" s="14" t="n">
        <v>152</v>
      </c>
      <c r="T163" s="14" t="n">
        <v>0.9</v>
      </c>
      <c r="U163" s="14" t="n">
        <v>10.65</v>
      </c>
      <c r="V163" s="14" t="n">
        <v>18.77</v>
      </c>
      <c r="W163" s="14" t="n">
        <v>182.32</v>
      </c>
      <c r="X163" s="14" t="n">
        <v>235.53</v>
      </c>
      <c r="Y163" s="14" t="n">
        <v>53.21</v>
      </c>
      <c r="Z163" s="14" t="n">
        <v>0.38</v>
      </c>
      <c r="AA163" s="14" t="n">
        <v>0</v>
      </c>
      <c r="AB163" s="14" t="n">
        <v>0</v>
      </c>
      <c r="AC163" s="14" t="n">
        <v>0</v>
      </c>
      <c r="AD163" s="15" t="n">
        <f aca="false">H163*E163/1000</f>
        <v>0</v>
      </c>
      <c r="AE163" s="15" t="n">
        <f aca="false">I163*E163/1000</f>
        <v>0</v>
      </c>
      <c r="AF163" s="16" t="n">
        <f aca="false">ROUND(S163+T163+U163+V163-W163,2)</f>
        <v>0</v>
      </c>
      <c r="AG163" s="16" t="n">
        <f aca="false">ROUND(X163-W163-Y163,2)</f>
        <v>0</v>
      </c>
    </row>
    <row r="164" customFormat="false" ht="15" hidden="false" customHeight="false" outlineLevel="0" collapsed="false">
      <c r="A164" s="13" t="s">
        <v>217</v>
      </c>
      <c r="B164" s="13" t="s">
        <v>277</v>
      </c>
      <c r="C164" s="13" t="s">
        <v>226</v>
      </c>
      <c r="D164" s="13" t="s">
        <v>281</v>
      </c>
      <c r="E164" s="14" t="n">
        <v>363</v>
      </c>
      <c r="F164" s="14" t="n">
        <v>3</v>
      </c>
      <c r="G164" s="14" t="n">
        <v>1.089</v>
      </c>
      <c r="H164" s="14"/>
      <c r="I164" s="14"/>
      <c r="J164" s="14" t="n">
        <v>67.65</v>
      </c>
      <c r="K164" s="14" t="n">
        <v>128.89</v>
      </c>
      <c r="L164" s="14" t="n">
        <v>2.48</v>
      </c>
      <c r="M164" s="14" t="n">
        <v>14.61</v>
      </c>
      <c r="N164" s="14" t="n">
        <v>4.93</v>
      </c>
      <c r="O164" s="14"/>
      <c r="P164" s="14" t="n">
        <v>1.5</v>
      </c>
      <c r="Q164" s="14"/>
      <c r="R164" s="14"/>
      <c r="S164" s="14" t="n">
        <v>152.42</v>
      </c>
      <c r="T164" s="14" t="n">
        <v>0.9</v>
      </c>
      <c r="U164" s="14" t="n">
        <v>10.65</v>
      </c>
      <c r="V164" s="14" t="n">
        <v>19.17</v>
      </c>
      <c r="W164" s="14" t="n">
        <v>183.14</v>
      </c>
      <c r="X164" s="14" t="n">
        <v>235.53</v>
      </c>
      <c r="Y164" s="14" t="n">
        <v>52.39</v>
      </c>
      <c r="Z164" s="14" t="n">
        <v>0.57</v>
      </c>
      <c r="AA164" s="14" t="n">
        <v>0</v>
      </c>
      <c r="AB164" s="14" t="n">
        <v>0</v>
      </c>
      <c r="AC164" s="14" t="n">
        <v>0</v>
      </c>
      <c r="AD164" s="15" t="n">
        <f aca="false">H164*E164/1000</f>
        <v>0</v>
      </c>
      <c r="AE164" s="15" t="n">
        <f aca="false">I164*E164/1000</f>
        <v>0</v>
      </c>
      <c r="AF164" s="16" t="n">
        <f aca="false">ROUND(S164+T164+U164+V164-W164,2)</f>
        <v>0</v>
      </c>
      <c r="AG164" s="16" t="n">
        <f aca="false">ROUND(X164-W164-Y164,2)</f>
        <v>0</v>
      </c>
    </row>
    <row r="165" customFormat="false" ht="15" hidden="false" customHeight="false" outlineLevel="0" collapsed="false">
      <c r="A165" s="13" t="s">
        <v>217</v>
      </c>
      <c r="B165" s="13" t="s">
        <v>277</v>
      </c>
      <c r="C165" s="13" t="s">
        <v>259</v>
      </c>
      <c r="D165" s="13" t="s">
        <v>270</v>
      </c>
      <c r="E165" s="14" t="n">
        <v>472</v>
      </c>
      <c r="F165" s="14" t="n">
        <v>50</v>
      </c>
      <c r="G165" s="14" t="n">
        <v>23.6</v>
      </c>
      <c r="H165" s="14" t="n">
        <v>1</v>
      </c>
      <c r="I165" s="14" t="n">
        <v>6</v>
      </c>
      <c r="J165" s="14" t="n">
        <v>73.14</v>
      </c>
      <c r="K165" s="14" t="n">
        <v>135.07</v>
      </c>
      <c r="L165" s="14" t="n">
        <v>2.3</v>
      </c>
      <c r="M165" s="14" t="n">
        <v>15.12</v>
      </c>
      <c r="N165" s="14" t="n">
        <v>4.5</v>
      </c>
      <c r="O165" s="14"/>
      <c r="P165" s="14" t="n">
        <v>1.5</v>
      </c>
      <c r="Q165" s="14"/>
      <c r="R165" s="14"/>
      <c r="S165" s="14" t="n">
        <v>158.5</v>
      </c>
      <c r="T165" s="14" t="n">
        <v>0.9</v>
      </c>
      <c r="U165" s="14" t="n">
        <v>10.65</v>
      </c>
      <c r="V165" s="14" t="n">
        <v>18.87</v>
      </c>
      <c r="W165" s="14" t="n">
        <v>188.91</v>
      </c>
      <c r="X165" s="14" t="n">
        <v>235.53</v>
      </c>
      <c r="Y165" s="14" t="n">
        <v>46.62</v>
      </c>
      <c r="Z165" s="14" t="n">
        <v>7.52</v>
      </c>
      <c r="AA165" s="14" t="n">
        <v>0.25</v>
      </c>
      <c r="AB165" s="14" t="n">
        <v>1.7</v>
      </c>
      <c r="AC165" s="14" t="n">
        <v>1.54</v>
      </c>
      <c r="AD165" s="15" t="n">
        <f aca="false">H165*E165/1000</f>
        <v>0.472</v>
      </c>
      <c r="AE165" s="15" t="n">
        <f aca="false">I165*E165/1000</f>
        <v>2.832</v>
      </c>
      <c r="AF165" s="16" t="n">
        <f aca="false">ROUND(S165+T165+U165+V165-W165,2)</f>
        <v>0.01</v>
      </c>
      <c r="AG165" s="16" t="n">
        <f aca="false">ROUND(X165-W165-Y165,2)</f>
        <v>0</v>
      </c>
    </row>
    <row r="166" customFormat="false" ht="15" hidden="false" customHeight="false" outlineLevel="0" collapsed="false">
      <c r="A166" s="13" t="s">
        <v>217</v>
      </c>
      <c r="B166" s="13" t="s">
        <v>277</v>
      </c>
      <c r="C166" s="13" t="s">
        <v>259</v>
      </c>
      <c r="D166" s="13" t="s">
        <v>254</v>
      </c>
      <c r="E166" s="14" t="n">
        <v>29</v>
      </c>
      <c r="F166" s="14" t="n">
        <v>32</v>
      </c>
      <c r="G166" s="14" t="n">
        <v>0.928</v>
      </c>
      <c r="H166" s="14"/>
      <c r="I166" s="14"/>
      <c r="J166" s="14" t="n">
        <v>63.01</v>
      </c>
      <c r="K166" s="14" t="n">
        <v>136.2</v>
      </c>
      <c r="L166" s="14" t="n">
        <v>2.67</v>
      </c>
      <c r="M166" s="14" t="n">
        <v>17.68</v>
      </c>
      <c r="N166" s="14" t="n">
        <v>4.5</v>
      </c>
      <c r="O166" s="14" t="n">
        <v>0.45</v>
      </c>
      <c r="P166" s="14" t="n">
        <v>1.5</v>
      </c>
      <c r="Q166" s="14"/>
      <c r="R166" s="14" t="n">
        <v>1.1</v>
      </c>
      <c r="S166" s="14" t="n">
        <v>164.1</v>
      </c>
      <c r="T166" s="14" t="n">
        <v>0.9</v>
      </c>
      <c r="U166" s="14" t="n">
        <v>10.65</v>
      </c>
      <c r="V166" s="14" t="n">
        <v>20.33</v>
      </c>
      <c r="W166" s="14" t="n">
        <v>195.98</v>
      </c>
      <c r="X166" s="14" t="n">
        <v>253.76</v>
      </c>
      <c r="Y166" s="14" t="n">
        <v>57.78</v>
      </c>
      <c r="Z166" s="14" t="n">
        <v>0.54</v>
      </c>
      <c r="AA166" s="14" t="n">
        <v>0</v>
      </c>
      <c r="AB166" s="14" t="n">
        <v>0</v>
      </c>
      <c r="AC166" s="14" t="n">
        <v>0</v>
      </c>
      <c r="AD166" s="15" t="n">
        <f aca="false">H166*E166/1000</f>
        <v>0</v>
      </c>
      <c r="AE166" s="15" t="n">
        <f aca="false">I166*E166/1000</f>
        <v>0</v>
      </c>
      <c r="AF166" s="16" t="n">
        <f aca="false">ROUND(S166+T166+U166+V166-W166,2)</f>
        <v>0</v>
      </c>
      <c r="AG166" s="16" t="n">
        <f aca="false">ROUND(X166-W166-Y166,2)</f>
        <v>0</v>
      </c>
    </row>
    <row r="167" customFormat="false" ht="15" hidden="false" customHeight="false" outlineLevel="0" collapsed="false">
      <c r="A167" s="13" t="s">
        <v>217</v>
      </c>
      <c r="B167" s="13" t="s">
        <v>277</v>
      </c>
      <c r="C167" s="13" t="s">
        <v>259</v>
      </c>
      <c r="D167" s="13" t="s">
        <v>274</v>
      </c>
      <c r="E167" s="14" t="n">
        <v>112</v>
      </c>
      <c r="F167" s="14" t="n">
        <v>36</v>
      </c>
      <c r="G167" s="14" t="n">
        <v>4.032</v>
      </c>
      <c r="H167" s="14" t="n">
        <v>1</v>
      </c>
      <c r="I167" s="14"/>
      <c r="J167" s="14" t="n">
        <v>71.57</v>
      </c>
      <c r="K167" s="14" t="n">
        <v>135.23</v>
      </c>
      <c r="L167" s="14" t="n">
        <v>2.35</v>
      </c>
      <c r="M167" s="14" t="n">
        <v>22.42</v>
      </c>
      <c r="N167" s="14" t="n">
        <v>4.5</v>
      </c>
      <c r="O167" s="14" t="n">
        <v>0.56</v>
      </c>
      <c r="P167" s="14" t="n">
        <v>1.5</v>
      </c>
      <c r="Q167" s="14"/>
      <c r="R167" s="14" t="n">
        <v>1.1</v>
      </c>
      <c r="S167" s="14" t="n">
        <v>167.66</v>
      </c>
      <c r="T167" s="14" t="n">
        <v>0.9</v>
      </c>
      <c r="U167" s="14" t="n">
        <v>10.65</v>
      </c>
      <c r="V167" s="14" t="n">
        <v>19.07</v>
      </c>
      <c r="W167" s="14" t="n">
        <v>198.27</v>
      </c>
      <c r="X167" s="14" t="n">
        <v>235.53</v>
      </c>
      <c r="Y167" s="14" t="n">
        <v>37.26</v>
      </c>
      <c r="Z167" s="14" t="n">
        <v>1.39</v>
      </c>
      <c r="AA167" s="14" t="n">
        <v>0.07</v>
      </c>
      <c r="AB167" s="14" t="n">
        <v>0</v>
      </c>
      <c r="AC167" s="14" t="n">
        <v>0.04</v>
      </c>
      <c r="AD167" s="15" t="n">
        <f aca="false">H167*E167/1000</f>
        <v>0.112</v>
      </c>
      <c r="AE167" s="15" t="n">
        <f aca="false">I167*E167/1000</f>
        <v>0</v>
      </c>
      <c r="AF167" s="16" t="n">
        <f aca="false">ROUND(S167+T167+U167+V167-W167,2)</f>
        <v>0.01</v>
      </c>
      <c r="AG167" s="16" t="n">
        <f aca="false">ROUND(X167-W167-Y167,2)</f>
        <v>0</v>
      </c>
    </row>
    <row r="168" customFormat="false" ht="15" hidden="false" customHeight="false" outlineLevel="0" collapsed="false">
      <c r="A168" s="13" t="s">
        <v>217</v>
      </c>
      <c r="B168" s="13" t="s">
        <v>277</v>
      </c>
      <c r="C168" s="13" t="s">
        <v>259</v>
      </c>
      <c r="D168" s="13" t="s">
        <v>279</v>
      </c>
      <c r="E168" s="14" t="n">
        <v>350</v>
      </c>
      <c r="F168" s="14" t="n">
        <v>2</v>
      </c>
      <c r="G168" s="14" t="n">
        <v>0.7</v>
      </c>
      <c r="H168" s="14" t="n">
        <v>2</v>
      </c>
      <c r="I168" s="14"/>
      <c r="J168" s="14" t="n">
        <v>66.67</v>
      </c>
      <c r="K168" s="14" t="n">
        <v>135.75</v>
      </c>
      <c r="L168" s="14" t="n">
        <v>2.52</v>
      </c>
      <c r="M168" s="14" t="n">
        <v>13.04</v>
      </c>
      <c r="N168" s="14" t="n">
        <v>4.5</v>
      </c>
      <c r="O168" s="14"/>
      <c r="P168" s="14" t="n">
        <v>1.5</v>
      </c>
      <c r="Q168" s="14"/>
      <c r="R168" s="14" t="n">
        <v>1.3</v>
      </c>
      <c r="S168" s="14" t="n">
        <v>158.61</v>
      </c>
      <c r="T168" s="14" t="n">
        <v>0.9</v>
      </c>
      <c r="U168" s="14" t="n">
        <v>10.65</v>
      </c>
      <c r="V168" s="14" t="n">
        <v>19.75</v>
      </c>
      <c r="W168" s="14" t="n">
        <v>189.91</v>
      </c>
      <c r="X168" s="14" t="n">
        <v>235.53</v>
      </c>
      <c r="Y168" s="14" t="n">
        <v>45.62</v>
      </c>
      <c r="Z168" s="14" t="n">
        <v>-0.36</v>
      </c>
      <c r="AA168" s="14" t="n">
        <v>0.36</v>
      </c>
      <c r="AB168" s="14" t="n">
        <v>0</v>
      </c>
      <c r="AC168" s="14" t="n">
        <v>0.32</v>
      </c>
      <c r="AD168" s="15" t="n">
        <f aca="false">H168*E168/1000</f>
        <v>0.7</v>
      </c>
      <c r="AE168" s="15" t="n">
        <f aca="false">I168*E168/1000</f>
        <v>0</v>
      </c>
      <c r="AF168" s="16" t="n">
        <f aca="false">ROUND(S168+T168+U168+V168-W168,2)</f>
        <v>0</v>
      </c>
      <c r="AG168" s="16" t="n">
        <f aca="false">ROUND(X168-W168-Y168,2)</f>
        <v>0</v>
      </c>
    </row>
    <row r="169" customFormat="false" ht="15" hidden="false" customHeight="false" outlineLevel="0" collapsed="false">
      <c r="A169" s="13" t="s">
        <v>217</v>
      </c>
      <c r="B169" s="13" t="s">
        <v>277</v>
      </c>
      <c r="C169" s="13" t="s">
        <v>259</v>
      </c>
      <c r="D169" s="13" t="s">
        <v>281</v>
      </c>
      <c r="E169" s="14" t="n">
        <v>363</v>
      </c>
      <c r="F169" s="14" t="n">
        <v>2</v>
      </c>
      <c r="G169" s="14" t="n">
        <v>0.726</v>
      </c>
      <c r="H169" s="14" t="n">
        <v>3</v>
      </c>
      <c r="I169" s="14"/>
      <c r="J169" s="14" t="n">
        <v>67.65</v>
      </c>
      <c r="K169" s="14" t="n">
        <v>135.64</v>
      </c>
      <c r="L169" s="14" t="n">
        <v>2.48</v>
      </c>
      <c r="M169" s="14" t="n">
        <v>12.86</v>
      </c>
      <c r="N169" s="14" t="n">
        <v>4.5</v>
      </c>
      <c r="O169" s="14"/>
      <c r="P169" s="14" t="n">
        <v>1.5</v>
      </c>
      <c r="Q169" s="14"/>
      <c r="R169" s="14" t="n">
        <v>1.3</v>
      </c>
      <c r="S169" s="14" t="n">
        <v>158.28</v>
      </c>
      <c r="T169" s="14" t="n">
        <v>0.9</v>
      </c>
      <c r="U169" s="14" t="n">
        <v>10.65</v>
      </c>
      <c r="V169" s="14" t="n">
        <v>19.61</v>
      </c>
      <c r="W169" s="14" t="n">
        <v>189.44</v>
      </c>
      <c r="X169" s="14" t="n">
        <v>235.53</v>
      </c>
      <c r="Y169" s="14" t="n">
        <v>46.09</v>
      </c>
      <c r="Z169" s="14" t="n">
        <v>-0.73</v>
      </c>
      <c r="AA169" s="14" t="n">
        <v>0.56</v>
      </c>
      <c r="AB169" s="14" t="n">
        <v>0</v>
      </c>
      <c r="AC169" s="14" t="n">
        <v>0.5</v>
      </c>
      <c r="AD169" s="15" t="n">
        <f aca="false">H169*E169/1000</f>
        <v>1.089</v>
      </c>
      <c r="AE169" s="15" t="n">
        <f aca="false">I169*E169/1000</f>
        <v>0</v>
      </c>
      <c r="AF169" s="16" t="n">
        <f aca="false">ROUND(S169+T169+U169+V169-W169,2)</f>
        <v>0</v>
      </c>
      <c r="AG169" s="16" t="n">
        <f aca="false">ROUND(X169-W169-Y169,2)</f>
        <v>0</v>
      </c>
    </row>
    <row r="170" customFormat="false" ht="15" hidden="false" customHeight="false" outlineLevel="0" collapsed="false">
      <c r="A170" s="13" t="s">
        <v>217</v>
      </c>
      <c r="B170" s="13" t="s">
        <v>277</v>
      </c>
      <c r="C170" s="13" t="s">
        <v>263</v>
      </c>
      <c r="D170" s="13" t="s">
        <v>223</v>
      </c>
      <c r="E170" s="14" t="n">
        <v>29.7</v>
      </c>
      <c r="F170" s="14" t="n">
        <v>42</v>
      </c>
      <c r="G170" s="14" t="n">
        <v>1.2474</v>
      </c>
      <c r="H170" s="14" t="n">
        <v>1</v>
      </c>
      <c r="I170" s="14"/>
      <c r="J170" s="14" t="n">
        <v>60.87</v>
      </c>
      <c r="K170" s="14" t="n">
        <v>137.63</v>
      </c>
      <c r="L170" s="14" t="n">
        <v>2.76</v>
      </c>
      <c r="M170" s="14" t="n">
        <v>17.78</v>
      </c>
      <c r="N170" s="14" t="n">
        <v>4.93</v>
      </c>
      <c r="O170" s="14" t="n">
        <v>0.45</v>
      </c>
      <c r="P170" s="14" t="n">
        <v>1.5</v>
      </c>
      <c r="Q170" s="14"/>
      <c r="R170" s="14" t="n">
        <v>1.4</v>
      </c>
      <c r="S170" s="14" t="n">
        <v>166.45</v>
      </c>
      <c r="T170" s="14" t="n">
        <v>0.9</v>
      </c>
      <c r="U170" s="14" t="n">
        <v>10.65</v>
      </c>
      <c r="V170" s="14" t="n">
        <v>20.71</v>
      </c>
      <c r="W170" s="14" t="n">
        <v>198.7</v>
      </c>
      <c r="X170" s="14" t="n">
        <v>253.76</v>
      </c>
      <c r="Y170" s="14" t="n">
        <v>55.06</v>
      </c>
      <c r="Z170" s="14" t="n">
        <v>0.65</v>
      </c>
      <c r="AA170" s="14" t="n">
        <v>0.02</v>
      </c>
      <c r="AB170" s="14" t="n">
        <v>0</v>
      </c>
      <c r="AC170" s="14" t="n">
        <v>0.02</v>
      </c>
      <c r="AD170" s="15" t="n">
        <f aca="false">H170*E170/1000</f>
        <v>0.0297</v>
      </c>
      <c r="AE170" s="15" t="n">
        <f aca="false">I170*E170/1000</f>
        <v>0</v>
      </c>
      <c r="AF170" s="16" t="n">
        <f aca="false">ROUND(S170+T170+U170+V170-W170,2)</f>
        <v>0.01</v>
      </c>
      <c r="AG170" s="16" t="n">
        <f aca="false">ROUND(X170-W170-Y170,2)</f>
        <v>0</v>
      </c>
    </row>
    <row r="171" customFormat="false" ht="15" hidden="false" customHeight="false" outlineLevel="0" collapsed="false">
      <c r="A171" s="13" t="s">
        <v>217</v>
      </c>
      <c r="B171" s="13" t="s">
        <v>277</v>
      </c>
      <c r="C171" s="13" t="s">
        <v>263</v>
      </c>
      <c r="D171" s="13" t="s">
        <v>222</v>
      </c>
      <c r="E171" s="14" t="n">
        <v>20.7</v>
      </c>
      <c r="F171" s="14" t="n">
        <v>64</v>
      </c>
      <c r="G171" s="14" t="n">
        <v>1.3248</v>
      </c>
      <c r="H171" s="14" t="n">
        <v>5</v>
      </c>
      <c r="I171" s="14"/>
      <c r="J171" s="14" t="n">
        <v>59.04</v>
      </c>
      <c r="K171" s="14" t="n">
        <v>137.89</v>
      </c>
      <c r="L171" s="14" t="n">
        <v>2.85</v>
      </c>
      <c r="M171" s="14" t="n">
        <v>20</v>
      </c>
      <c r="N171" s="14" t="n">
        <v>4.93</v>
      </c>
      <c r="O171" s="14" t="n">
        <v>0.45</v>
      </c>
      <c r="P171" s="14" t="n">
        <v>1.5</v>
      </c>
      <c r="Q171" s="14"/>
      <c r="R171" s="14" t="n">
        <v>1.4</v>
      </c>
      <c r="S171" s="14" t="n">
        <v>169.02</v>
      </c>
      <c r="T171" s="14" t="n">
        <v>0.9</v>
      </c>
      <c r="U171" s="14" t="n">
        <v>10.65</v>
      </c>
      <c r="V171" s="14" t="n">
        <v>21.05</v>
      </c>
      <c r="W171" s="14" t="n">
        <v>201.61</v>
      </c>
      <c r="X171" s="14" t="n">
        <v>253.76</v>
      </c>
      <c r="Y171" s="14" t="n">
        <v>52.15</v>
      </c>
      <c r="Z171" s="14" t="n">
        <v>0.57</v>
      </c>
      <c r="AA171" s="14" t="n">
        <v>0.06</v>
      </c>
      <c r="AB171" s="14" t="n">
        <v>0</v>
      </c>
      <c r="AC171" s="14" t="n">
        <v>0.05</v>
      </c>
      <c r="AD171" s="15" t="n">
        <f aca="false">H171*E171/1000</f>
        <v>0.1035</v>
      </c>
      <c r="AE171" s="15" t="n">
        <f aca="false">I171*E171/1000</f>
        <v>0</v>
      </c>
      <c r="AF171" s="16" t="n">
        <f aca="false">ROUND(S171+T171+U171+V171-W171,2)</f>
        <v>0.01</v>
      </c>
      <c r="AG171" s="16" t="n">
        <f aca="false">ROUND(X171-W171-Y171,2)</f>
        <v>0</v>
      </c>
    </row>
    <row r="172" customFormat="false" ht="15" hidden="false" customHeight="false" outlineLevel="0" collapsed="false">
      <c r="A172" s="13" t="s">
        <v>217</v>
      </c>
      <c r="B172" s="13" t="s">
        <v>277</v>
      </c>
      <c r="C172" s="13" t="s">
        <v>263</v>
      </c>
      <c r="D172" s="13" t="s">
        <v>228</v>
      </c>
      <c r="E172" s="14" t="n">
        <v>28</v>
      </c>
      <c r="F172" s="14" t="n">
        <v>2</v>
      </c>
      <c r="G172" s="14" t="n">
        <v>0.056</v>
      </c>
      <c r="H172" s="14" t="n">
        <v>1</v>
      </c>
      <c r="I172" s="14"/>
      <c r="J172" s="14" t="n">
        <v>68</v>
      </c>
      <c r="K172" s="14" t="n">
        <v>136.74</v>
      </c>
      <c r="L172" s="14" t="n">
        <v>2.47</v>
      </c>
      <c r="M172" s="14" t="n">
        <v>18.96</v>
      </c>
      <c r="N172" s="14" t="n">
        <v>4.93</v>
      </c>
      <c r="O172" s="14" t="n">
        <v>0.45</v>
      </c>
      <c r="P172" s="14" t="n">
        <v>1.5</v>
      </c>
      <c r="Q172" s="14"/>
      <c r="R172" s="14" t="n">
        <v>1.4</v>
      </c>
      <c r="S172" s="14" t="n">
        <v>166.44</v>
      </c>
      <c r="T172" s="14" t="n">
        <v>0.9</v>
      </c>
      <c r="U172" s="14" t="n">
        <v>10.65</v>
      </c>
      <c r="V172" s="14" t="n">
        <v>19.56</v>
      </c>
      <c r="W172" s="14" t="n">
        <v>197.55</v>
      </c>
      <c r="X172" s="14" t="n">
        <v>253.76</v>
      </c>
      <c r="Y172" s="14" t="n">
        <v>56.21</v>
      </c>
      <c r="Z172" s="14" t="n">
        <v>0</v>
      </c>
      <c r="AA172" s="14" t="n">
        <v>0.02</v>
      </c>
      <c r="AB172" s="14" t="n">
        <v>0</v>
      </c>
      <c r="AC172" s="14" t="n">
        <v>0.02</v>
      </c>
      <c r="AD172" s="15" t="n">
        <f aca="false">H172*E172/1000</f>
        <v>0.028</v>
      </c>
      <c r="AE172" s="15" t="n">
        <f aca="false">I172*E172/1000</f>
        <v>0</v>
      </c>
      <c r="AF172" s="16" t="n">
        <f aca="false">ROUND(S172+T172+U172+V172-W172,2)</f>
        <v>0</v>
      </c>
      <c r="AG172" s="16" t="n">
        <f aca="false">ROUND(X172-W172-Y172,2)</f>
        <v>0</v>
      </c>
    </row>
    <row r="173" customFormat="false" ht="15" hidden="false" customHeight="false" outlineLevel="0" collapsed="false">
      <c r="A173" s="13" t="s">
        <v>217</v>
      </c>
      <c r="B173" s="13" t="s">
        <v>277</v>
      </c>
      <c r="C173" s="13" t="s">
        <v>263</v>
      </c>
      <c r="D173" s="13" t="s">
        <v>224</v>
      </c>
      <c r="E173" s="14" t="n">
        <v>39.26</v>
      </c>
      <c r="F173" s="14" t="n">
        <v>224</v>
      </c>
      <c r="G173" s="14" t="n">
        <v>8.7942</v>
      </c>
      <c r="H173" s="14" t="n">
        <v>8</v>
      </c>
      <c r="I173" s="14" t="n">
        <v>1</v>
      </c>
      <c r="J173" s="14" t="n">
        <v>64.15</v>
      </c>
      <c r="K173" s="14" t="n">
        <v>137.19</v>
      </c>
      <c r="L173" s="14" t="n">
        <v>2.62</v>
      </c>
      <c r="M173" s="14" t="n">
        <v>15.27</v>
      </c>
      <c r="N173" s="14" t="n">
        <v>4.93</v>
      </c>
      <c r="O173" s="14" t="n">
        <v>0.54</v>
      </c>
      <c r="P173" s="14" t="n">
        <v>1.5</v>
      </c>
      <c r="Q173" s="14"/>
      <c r="R173" s="14" t="n">
        <v>1.4</v>
      </c>
      <c r="S173" s="14" t="n">
        <v>163.45</v>
      </c>
      <c r="T173" s="14" t="n">
        <v>0.9</v>
      </c>
      <c r="U173" s="14" t="n">
        <v>10.65</v>
      </c>
      <c r="V173" s="14" t="n">
        <v>20.15</v>
      </c>
      <c r="W173" s="14" t="n">
        <v>195.14</v>
      </c>
      <c r="X173" s="14" t="n">
        <v>253.76</v>
      </c>
      <c r="Y173" s="14" t="n">
        <v>58.62</v>
      </c>
      <c r="Z173" s="14" t="n">
        <v>4.75</v>
      </c>
      <c r="AA173" s="14" t="n">
        <v>0.17</v>
      </c>
      <c r="AB173" s="14" t="n">
        <v>0.02</v>
      </c>
      <c r="AC173" s="14" t="n">
        <v>0.21</v>
      </c>
      <c r="AD173" s="15" t="n">
        <f aca="false">H173*E173/1000</f>
        <v>0.31408</v>
      </c>
      <c r="AE173" s="15" t="n">
        <f aca="false">I173*E173/1000</f>
        <v>0.03926</v>
      </c>
      <c r="AF173" s="16" t="n">
        <f aca="false">ROUND(S173+T173+U173+V173-W173,2)</f>
        <v>0.01</v>
      </c>
      <c r="AG173" s="16" t="n">
        <f aca="false">ROUND(X173-W173-Y173,2)</f>
        <v>0</v>
      </c>
    </row>
    <row r="174" customFormat="false" ht="15" hidden="false" customHeight="false" outlineLevel="0" collapsed="false">
      <c r="A174" s="13" t="s">
        <v>217</v>
      </c>
      <c r="B174" s="13" t="s">
        <v>277</v>
      </c>
      <c r="C174" s="13" t="s">
        <v>263</v>
      </c>
      <c r="D174" s="13" t="s">
        <v>227</v>
      </c>
      <c r="E174" s="14" t="n">
        <v>18</v>
      </c>
      <c r="F174" s="14" t="n">
        <v>1</v>
      </c>
      <c r="G174" s="14" t="n">
        <v>0.018</v>
      </c>
      <c r="H174" s="14"/>
      <c r="I174" s="14"/>
      <c r="J174" s="14" t="n">
        <v>64.17</v>
      </c>
      <c r="K174" s="14" t="n">
        <v>137.19</v>
      </c>
      <c r="L174" s="14" t="n">
        <v>2.62</v>
      </c>
      <c r="M174" s="14" t="n">
        <v>17.81</v>
      </c>
      <c r="N174" s="14" t="n">
        <v>4.93</v>
      </c>
      <c r="O174" s="14" t="n">
        <v>0.45</v>
      </c>
      <c r="P174" s="14" t="n">
        <v>1.5</v>
      </c>
      <c r="Q174" s="14"/>
      <c r="R174" s="14" t="n">
        <v>1.4</v>
      </c>
      <c r="S174" s="14" t="n">
        <v>165.89</v>
      </c>
      <c r="T174" s="14" t="n">
        <v>0.9</v>
      </c>
      <c r="U174" s="14" t="n">
        <v>10.65</v>
      </c>
      <c r="V174" s="14" t="n">
        <v>20.14</v>
      </c>
      <c r="W174" s="14" t="n">
        <v>197.59</v>
      </c>
      <c r="X174" s="14" t="n">
        <v>253.76</v>
      </c>
      <c r="Y174" s="14" t="n">
        <v>56.17</v>
      </c>
      <c r="Z174" s="14" t="n">
        <v>0.01</v>
      </c>
      <c r="AA174" s="14" t="n">
        <v>0</v>
      </c>
      <c r="AB174" s="14" t="n">
        <v>0</v>
      </c>
      <c r="AC174" s="14" t="n">
        <v>0</v>
      </c>
      <c r="AD174" s="15" t="n">
        <f aca="false">H174*E174/1000</f>
        <v>0</v>
      </c>
      <c r="AE174" s="15" t="n">
        <f aca="false">I174*E174/1000</f>
        <v>0</v>
      </c>
      <c r="AF174" s="16" t="n">
        <f aca="false">ROUND(S174+T174+U174+V174-W174,2)</f>
        <v>-0.01</v>
      </c>
      <c r="AG174" s="16" t="n">
        <f aca="false">ROUND(X174-W174-Y174,2)</f>
        <v>0</v>
      </c>
    </row>
    <row r="175" customFormat="false" ht="15" hidden="false" customHeight="false" outlineLevel="0" collapsed="false">
      <c r="A175" s="13" t="s">
        <v>217</v>
      </c>
      <c r="B175" s="13" t="s">
        <v>277</v>
      </c>
      <c r="C175" s="13" t="s">
        <v>263</v>
      </c>
      <c r="D175" s="13" t="s">
        <v>225</v>
      </c>
      <c r="E175" s="14" t="n">
        <v>28.92</v>
      </c>
      <c r="F175" s="14" t="n">
        <v>36</v>
      </c>
      <c r="G175" s="14" t="n">
        <v>1.0411</v>
      </c>
      <c r="H175" s="14" t="n">
        <v>5</v>
      </c>
      <c r="I175" s="14"/>
      <c r="J175" s="14" t="n">
        <v>63.01</v>
      </c>
      <c r="K175" s="14" t="n">
        <v>137.34</v>
      </c>
      <c r="L175" s="14" t="n">
        <v>2.67</v>
      </c>
      <c r="M175" s="14" t="n">
        <v>18.48</v>
      </c>
      <c r="N175" s="14" t="n">
        <v>4.93</v>
      </c>
      <c r="O175" s="14" t="n">
        <v>0.45</v>
      </c>
      <c r="P175" s="14" t="n">
        <v>1.5</v>
      </c>
      <c r="Q175" s="14"/>
      <c r="R175" s="14" t="n">
        <v>1.4</v>
      </c>
      <c r="S175" s="14" t="n">
        <v>166.76</v>
      </c>
      <c r="T175" s="14" t="n">
        <v>0.9</v>
      </c>
      <c r="U175" s="14" t="n">
        <v>10.65</v>
      </c>
      <c r="V175" s="14" t="n">
        <v>20.33</v>
      </c>
      <c r="W175" s="14" t="n">
        <v>198.64</v>
      </c>
      <c r="X175" s="14" t="n">
        <v>253.76</v>
      </c>
      <c r="Y175" s="14" t="n">
        <v>55.12</v>
      </c>
      <c r="Z175" s="14" t="n">
        <v>0.41</v>
      </c>
      <c r="AA175" s="14" t="n">
        <v>0.09</v>
      </c>
      <c r="AB175" s="14" t="n">
        <v>0</v>
      </c>
      <c r="AC175" s="14" t="n">
        <v>0.08</v>
      </c>
      <c r="AD175" s="15" t="n">
        <f aca="false">H175*E175/1000</f>
        <v>0.1446</v>
      </c>
      <c r="AE175" s="15" t="n">
        <f aca="false">I175*E175/1000</f>
        <v>0</v>
      </c>
      <c r="AF175" s="16" t="n">
        <f aca="false">ROUND(S175+T175+U175+V175-W175,2)</f>
        <v>0</v>
      </c>
      <c r="AG175" s="16" t="n">
        <f aca="false">ROUND(X175-W175-Y175,2)</f>
        <v>0</v>
      </c>
    </row>
    <row r="176" customFormat="false" ht="15" hidden="false" customHeight="false" outlineLevel="0" collapsed="false">
      <c r="A176" s="13" t="s">
        <v>217</v>
      </c>
      <c r="B176" s="13" t="s">
        <v>277</v>
      </c>
      <c r="C176" s="13" t="s">
        <v>263</v>
      </c>
      <c r="D176" s="13" t="s">
        <v>254</v>
      </c>
      <c r="E176" s="14" t="n">
        <v>29</v>
      </c>
      <c r="F176" s="14" t="n">
        <v>40</v>
      </c>
      <c r="G176" s="14" t="n">
        <v>1.16</v>
      </c>
      <c r="H176" s="14" t="n">
        <v>4</v>
      </c>
      <c r="I176" s="14" t="n">
        <v>1</v>
      </c>
      <c r="J176" s="14" t="n">
        <v>63.01</v>
      </c>
      <c r="K176" s="14" t="n">
        <v>137.34</v>
      </c>
      <c r="L176" s="14" t="n">
        <v>2.67</v>
      </c>
      <c r="M176" s="14" t="n">
        <v>17.68</v>
      </c>
      <c r="N176" s="14" t="n">
        <v>4.93</v>
      </c>
      <c r="O176" s="14" t="n">
        <v>0.45</v>
      </c>
      <c r="P176" s="14" t="n">
        <v>1.5</v>
      </c>
      <c r="Q176" s="14"/>
      <c r="R176" s="14" t="n">
        <v>1.1</v>
      </c>
      <c r="S176" s="14" t="n">
        <v>165.66</v>
      </c>
      <c r="T176" s="14" t="n">
        <v>0.9</v>
      </c>
      <c r="U176" s="14" t="n">
        <v>10.65</v>
      </c>
      <c r="V176" s="14" t="n">
        <v>20.33</v>
      </c>
      <c r="W176" s="14" t="n">
        <v>197.55</v>
      </c>
      <c r="X176" s="14" t="n">
        <v>253.76</v>
      </c>
      <c r="Y176" s="14" t="n">
        <v>56.21</v>
      </c>
      <c r="Z176" s="14" t="n">
        <v>0.48</v>
      </c>
      <c r="AA176" s="14" t="n">
        <v>0.07</v>
      </c>
      <c r="AB176" s="14" t="n">
        <v>0.02</v>
      </c>
      <c r="AC176" s="14" t="n">
        <v>0.08</v>
      </c>
      <c r="AD176" s="15" t="n">
        <f aca="false">H176*E176/1000</f>
        <v>0.116</v>
      </c>
      <c r="AE176" s="15" t="n">
        <f aca="false">I176*E176/1000</f>
        <v>0.029</v>
      </c>
      <c r="AF176" s="16" t="n">
        <f aca="false">ROUND(S176+T176+U176+V176-W176,2)</f>
        <v>-0.01</v>
      </c>
      <c r="AG176" s="16" t="n">
        <f aca="false">ROUND(X176-W176-Y176,2)</f>
        <v>0</v>
      </c>
    </row>
    <row r="177" customFormat="false" ht="15" hidden="false" customHeight="false" outlineLevel="0" collapsed="false">
      <c r="A177" s="13" t="s">
        <v>217</v>
      </c>
      <c r="B177" s="13" t="s">
        <v>277</v>
      </c>
      <c r="C177" s="13" t="s">
        <v>263</v>
      </c>
      <c r="D177" s="13" t="s">
        <v>279</v>
      </c>
      <c r="E177" s="14" t="n">
        <v>350</v>
      </c>
      <c r="F177" s="14" t="n">
        <v>4</v>
      </c>
      <c r="G177" s="14" t="n">
        <v>1.4</v>
      </c>
      <c r="H177" s="14" t="n">
        <v>2</v>
      </c>
      <c r="I177" s="14"/>
      <c r="J177" s="14" t="n">
        <v>66.67</v>
      </c>
      <c r="K177" s="14" t="n">
        <v>136.89</v>
      </c>
      <c r="L177" s="14" t="n">
        <v>2.52</v>
      </c>
      <c r="M177" s="14" t="n">
        <v>13.04</v>
      </c>
      <c r="N177" s="14" t="n">
        <v>4.93</v>
      </c>
      <c r="O177" s="14"/>
      <c r="P177" s="14" t="n">
        <v>1.5</v>
      </c>
      <c r="Q177" s="14"/>
      <c r="R177" s="14" t="n">
        <v>1.3</v>
      </c>
      <c r="S177" s="14" t="n">
        <v>160.17</v>
      </c>
      <c r="T177" s="14" t="n">
        <v>0.9</v>
      </c>
      <c r="U177" s="14" t="n">
        <v>10.65</v>
      </c>
      <c r="V177" s="14" t="n">
        <v>19.75</v>
      </c>
      <c r="W177" s="14" t="n">
        <v>191.48</v>
      </c>
      <c r="X177" s="14" t="n">
        <v>256.08</v>
      </c>
      <c r="Y177" s="14" t="n">
        <v>64.6</v>
      </c>
      <c r="Z177" s="14" t="n">
        <v>0.08</v>
      </c>
      <c r="AA177" s="14" t="n">
        <v>0.37</v>
      </c>
      <c r="AB177" s="14" t="n">
        <v>0</v>
      </c>
      <c r="AC177" s="14" t="n">
        <v>0.45</v>
      </c>
      <c r="AD177" s="15" t="n">
        <f aca="false">H177*E177/1000</f>
        <v>0.7</v>
      </c>
      <c r="AE177" s="15" t="n">
        <f aca="false">I177*E177/1000</f>
        <v>0</v>
      </c>
      <c r="AF177" s="16" t="n">
        <f aca="false">ROUND(S177+T177+U177+V177-W177,2)</f>
        <v>-0.01</v>
      </c>
      <c r="AG177" s="16" t="n">
        <f aca="false">ROUND(X177-W177-Y177,2)</f>
        <v>0</v>
      </c>
    </row>
    <row r="178" customFormat="false" ht="15" hidden="false" customHeight="false" outlineLevel="0" collapsed="false">
      <c r="A178" s="13" t="s">
        <v>217</v>
      </c>
      <c r="B178" s="13" t="s">
        <v>277</v>
      </c>
      <c r="C178" s="13" t="s">
        <v>263</v>
      </c>
      <c r="D178" s="13" t="s">
        <v>280</v>
      </c>
      <c r="E178" s="14" t="n">
        <v>238</v>
      </c>
      <c r="F178" s="14" t="n">
        <v>3</v>
      </c>
      <c r="G178" s="14" t="n">
        <v>0.714</v>
      </c>
      <c r="H178" s="14" t="n">
        <v>1</v>
      </c>
      <c r="I178" s="14"/>
      <c r="J178" s="14" t="n">
        <v>70.59</v>
      </c>
      <c r="K178" s="14" t="n">
        <v>136.46</v>
      </c>
      <c r="L178" s="14" t="n">
        <v>2.38</v>
      </c>
      <c r="M178" s="14" t="n">
        <v>12.86</v>
      </c>
      <c r="N178" s="14" t="n">
        <v>4.93</v>
      </c>
      <c r="O178" s="14"/>
      <c r="P178" s="14" t="n">
        <v>1.5</v>
      </c>
      <c r="Q178" s="14"/>
      <c r="R178" s="14"/>
      <c r="S178" s="14" t="n">
        <v>158.13</v>
      </c>
      <c r="T178" s="14" t="n">
        <v>0.9</v>
      </c>
      <c r="U178" s="14" t="n">
        <v>10.65</v>
      </c>
      <c r="V178" s="14" t="n">
        <v>19.2</v>
      </c>
      <c r="W178" s="14" t="n">
        <v>188.88</v>
      </c>
      <c r="X178" s="14" t="n">
        <v>256.08</v>
      </c>
      <c r="Y178" s="14" t="n">
        <v>67.2</v>
      </c>
      <c r="Z178" s="14" t="n">
        <v>0.2</v>
      </c>
      <c r="AA178" s="14" t="n">
        <v>0.12</v>
      </c>
      <c r="AB178" s="14" t="n">
        <v>0</v>
      </c>
      <c r="AC178" s="14" t="n">
        <v>0.16</v>
      </c>
      <c r="AD178" s="15" t="n">
        <f aca="false">H178*E178/1000</f>
        <v>0.238</v>
      </c>
      <c r="AE178" s="15" t="n">
        <f aca="false">I178*E178/1000</f>
        <v>0</v>
      </c>
      <c r="AF178" s="16" t="n">
        <f aca="false">ROUND(S178+T178+U178+V178-W178,2)</f>
        <v>0</v>
      </c>
      <c r="AG178" s="16" t="n">
        <f aca="false">ROUND(X178-W178-Y178,2)</f>
        <v>0</v>
      </c>
    </row>
    <row r="179" customFormat="false" ht="15" hidden="false" customHeight="false" outlineLevel="0" collapsed="false">
      <c r="A179" s="13" t="s">
        <v>217</v>
      </c>
      <c r="B179" s="13" t="s">
        <v>277</v>
      </c>
      <c r="C179" s="13" t="s">
        <v>263</v>
      </c>
      <c r="D179" s="13" t="s">
        <v>281</v>
      </c>
      <c r="E179" s="14" t="n">
        <v>363</v>
      </c>
      <c r="F179" s="14" t="n">
        <v>3</v>
      </c>
      <c r="G179" s="14" t="n">
        <v>1.089</v>
      </c>
      <c r="H179" s="14" t="n">
        <v>2</v>
      </c>
      <c r="I179" s="14" t="n">
        <v>1</v>
      </c>
      <c r="J179" s="14" t="n">
        <v>67.65</v>
      </c>
      <c r="K179" s="14" t="n">
        <v>136.78</v>
      </c>
      <c r="L179" s="14" t="n">
        <v>2.48</v>
      </c>
      <c r="M179" s="14" t="n">
        <v>12.86</v>
      </c>
      <c r="N179" s="14" t="n">
        <v>4.93</v>
      </c>
      <c r="O179" s="14"/>
      <c r="P179" s="14" t="n">
        <v>1.5</v>
      </c>
      <c r="Q179" s="14"/>
      <c r="R179" s="14" t="n">
        <v>1.3</v>
      </c>
      <c r="S179" s="14" t="n">
        <v>159.85</v>
      </c>
      <c r="T179" s="14" t="n">
        <v>0.9</v>
      </c>
      <c r="U179" s="14" t="n">
        <v>10.65</v>
      </c>
      <c r="V179" s="14" t="n">
        <v>19.61</v>
      </c>
      <c r="W179" s="14" t="n">
        <v>191</v>
      </c>
      <c r="X179" s="14" t="n">
        <v>256.08</v>
      </c>
      <c r="Y179" s="14" t="n">
        <v>65.08</v>
      </c>
      <c r="Z179" s="14" t="n">
        <v>-0.59</v>
      </c>
      <c r="AA179" s="14" t="n">
        <v>0.38</v>
      </c>
      <c r="AB179" s="14" t="n">
        <v>0.22</v>
      </c>
      <c r="AC179" s="14" t="n">
        <v>0.71</v>
      </c>
      <c r="AD179" s="15" t="n">
        <f aca="false">H179*E179/1000</f>
        <v>0.726</v>
      </c>
      <c r="AE179" s="15" t="n">
        <f aca="false">I179*E179/1000</f>
        <v>0.363</v>
      </c>
      <c r="AF179" s="16" t="n">
        <f aca="false">ROUND(S179+T179+U179+V179-W179,2)</f>
        <v>0.01</v>
      </c>
      <c r="AG179" s="16" t="n">
        <f aca="false">ROUND(X179-W179-Y179,2)</f>
        <v>0</v>
      </c>
    </row>
    <row r="180" customFormat="false" ht="15" hidden="false" customHeight="false" outlineLevel="0" collapsed="false">
      <c r="A180" s="13" t="s">
        <v>217</v>
      </c>
      <c r="B180" s="13" t="s">
        <v>277</v>
      </c>
      <c r="C180" s="13" t="s">
        <v>263</v>
      </c>
      <c r="D180" s="13" t="s">
        <v>282</v>
      </c>
      <c r="E180" s="14" t="n">
        <v>64</v>
      </c>
      <c r="F180" s="14" t="n">
        <v>201</v>
      </c>
      <c r="G180" s="14" t="n">
        <v>12.864</v>
      </c>
      <c r="H180" s="14" t="n">
        <v>1</v>
      </c>
      <c r="I180" s="14"/>
      <c r="J180" s="14" t="n">
        <v>70.59</v>
      </c>
      <c r="K180" s="14" t="n">
        <v>136.46</v>
      </c>
      <c r="L180" s="14" t="n">
        <v>2.38</v>
      </c>
      <c r="M180" s="14" t="n">
        <v>12.19</v>
      </c>
      <c r="N180" s="14" t="n">
        <v>4.93</v>
      </c>
      <c r="O180" s="14" t="n">
        <v>0.56</v>
      </c>
      <c r="P180" s="14" t="n">
        <v>1.5</v>
      </c>
      <c r="Q180" s="14"/>
      <c r="R180" s="14" t="n">
        <v>1.4</v>
      </c>
      <c r="S180" s="14" t="n">
        <v>159.42</v>
      </c>
      <c r="T180" s="14" t="n">
        <v>0.9</v>
      </c>
      <c r="U180" s="14" t="n">
        <v>10.65</v>
      </c>
      <c r="V180" s="14" t="n">
        <v>19.2</v>
      </c>
      <c r="W180" s="14" t="n">
        <v>190.16</v>
      </c>
      <c r="X180" s="14" t="n">
        <v>253.76</v>
      </c>
      <c r="Y180" s="14" t="n">
        <v>63.6</v>
      </c>
      <c r="Z180" s="14" t="n">
        <v>8.11</v>
      </c>
      <c r="AA180" s="14" t="n">
        <v>0.03</v>
      </c>
      <c r="AB180" s="14" t="n">
        <v>0</v>
      </c>
      <c r="AC180" s="14" t="n">
        <v>0.04</v>
      </c>
      <c r="AD180" s="15" t="n">
        <f aca="false">H180*E180/1000</f>
        <v>0.064</v>
      </c>
      <c r="AE180" s="15" t="n">
        <f aca="false">I180*E180/1000</f>
        <v>0</v>
      </c>
      <c r="AF180" s="16" t="n">
        <f aca="false">ROUND(S180+T180+U180+V180-W180,2)</f>
        <v>0.01</v>
      </c>
      <c r="AG180" s="16" t="n">
        <f aca="false">ROUND(X180-W180-Y180,2)</f>
        <v>0</v>
      </c>
    </row>
    <row r="181" customFormat="false" ht="15" hidden="false" customHeight="false" outlineLevel="0" collapsed="false">
      <c r="A181" s="13" t="s">
        <v>217</v>
      </c>
      <c r="B181" s="13" t="s">
        <v>277</v>
      </c>
      <c r="C181" s="13" t="s">
        <v>263</v>
      </c>
      <c r="D181" s="13" t="s">
        <v>283</v>
      </c>
      <c r="E181" s="14" t="n">
        <v>47</v>
      </c>
      <c r="F181" s="14" t="n">
        <v>4</v>
      </c>
      <c r="G181" s="14" t="n">
        <v>0.188</v>
      </c>
      <c r="H181" s="14"/>
      <c r="I181" s="14"/>
      <c r="J181" s="14" t="n">
        <v>70.59</v>
      </c>
      <c r="K181" s="14" t="n">
        <v>136.46</v>
      </c>
      <c r="L181" s="14" t="n">
        <v>2.38</v>
      </c>
      <c r="M181" s="14" t="n">
        <v>21.4</v>
      </c>
      <c r="N181" s="14" t="n">
        <v>4.93</v>
      </c>
      <c r="O181" s="14" t="n">
        <v>0.45</v>
      </c>
      <c r="P181" s="14" t="n">
        <v>1.5</v>
      </c>
      <c r="Q181" s="14"/>
      <c r="R181" s="14" t="n">
        <v>1.4</v>
      </c>
      <c r="S181" s="14" t="n">
        <v>168.52</v>
      </c>
      <c r="T181" s="14" t="n">
        <v>0.9</v>
      </c>
      <c r="U181" s="14" t="n">
        <v>10.65</v>
      </c>
      <c r="V181" s="14" t="n">
        <v>19.2</v>
      </c>
      <c r="W181" s="14" t="n">
        <v>199.26</v>
      </c>
      <c r="X181" s="14" t="n">
        <v>253.76</v>
      </c>
      <c r="Y181" s="14" t="n">
        <v>54.5</v>
      </c>
      <c r="Z181" s="14" t="n">
        <v>0.1</v>
      </c>
      <c r="AA181" s="14" t="n">
        <v>0</v>
      </c>
      <c r="AB181" s="14" t="n">
        <v>0</v>
      </c>
      <c r="AC181" s="14" t="n">
        <v>0</v>
      </c>
      <c r="AD181" s="15" t="n">
        <f aca="false">H181*E181/1000</f>
        <v>0</v>
      </c>
      <c r="AE181" s="15" t="n">
        <f aca="false">I181*E181/1000</f>
        <v>0</v>
      </c>
      <c r="AF181" s="16" t="n">
        <f aca="false">ROUND(S181+T181+U181+V181-W181,2)</f>
        <v>0.01</v>
      </c>
      <c r="AG181" s="16" t="n">
        <f aca="false">ROUND(X181-W181-Y181,2)</f>
        <v>0</v>
      </c>
    </row>
    <row r="182" customFormat="false" ht="15" hidden="false" customHeight="false" outlineLevel="0" collapsed="false">
      <c r="A182" s="13" t="s">
        <v>217</v>
      </c>
      <c r="B182" s="13" t="s">
        <v>277</v>
      </c>
      <c r="C182" s="13" t="s">
        <v>229</v>
      </c>
      <c r="D182" s="13" t="s">
        <v>279</v>
      </c>
      <c r="E182" s="14" t="n">
        <v>350</v>
      </c>
      <c r="F182" s="14" t="n">
        <v>1</v>
      </c>
      <c r="G182" s="14" t="n">
        <v>0.35</v>
      </c>
      <c r="H182" s="14"/>
      <c r="I182" s="14" t="n">
        <v>1</v>
      </c>
      <c r="J182" s="14" t="n">
        <v>66.67</v>
      </c>
      <c r="K182" s="14" t="n">
        <v>137.81</v>
      </c>
      <c r="L182" s="14" t="n">
        <v>2.52</v>
      </c>
      <c r="M182" s="14" t="n">
        <v>13.04</v>
      </c>
      <c r="N182" s="14" t="n">
        <v>4.93</v>
      </c>
      <c r="O182" s="14"/>
      <c r="P182" s="14" t="n">
        <v>1.5</v>
      </c>
      <c r="Q182" s="14"/>
      <c r="R182" s="14" t="n">
        <v>1.3</v>
      </c>
      <c r="S182" s="14" t="n">
        <v>161.1</v>
      </c>
      <c r="T182" s="14" t="n">
        <v>0.9</v>
      </c>
      <c r="U182" s="14" t="n">
        <v>10.65</v>
      </c>
      <c r="V182" s="14" t="n">
        <v>19.75</v>
      </c>
      <c r="W182" s="14" t="n">
        <v>192.4</v>
      </c>
      <c r="X182" s="14" t="n">
        <v>256.08</v>
      </c>
      <c r="Y182" s="14" t="n">
        <v>63.68</v>
      </c>
      <c r="Z182" s="14" t="n">
        <v>-0.21</v>
      </c>
      <c r="AA182" s="14" t="n">
        <v>0</v>
      </c>
      <c r="AB182" s="14" t="n">
        <v>0.21</v>
      </c>
      <c r="AC182" s="14" t="n">
        <v>0.22</v>
      </c>
      <c r="AD182" s="15" t="n">
        <f aca="false">H182*E182/1000</f>
        <v>0</v>
      </c>
      <c r="AE182" s="15" t="n">
        <f aca="false">I182*E182/1000</f>
        <v>0.35</v>
      </c>
      <c r="AF182" s="16" t="n">
        <f aca="false">ROUND(S182+T182+U182+V182-W182,2)</f>
        <v>0</v>
      </c>
      <c r="AG182" s="16" t="n">
        <f aca="false">ROUND(X182-W182-Y182,2)</f>
        <v>0</v>
      </c>
    </row>
    <row r="183" customFormat="false" ht="15" hidden="false" customHeight="false" outlineLevel="0" collapsed="false">
      <c r="A183" s="13" t="s">
        <v>217</v>
      </c>
      <c r="B183" s="13" t="s">
        <v>277</v>
      </c>
      <c r="C183" s="13" t="s">
        <v>229</v>
      </c>
      <c r="D183" s="13" t="s">
        <v>281</v>
      </c>
      <c r="E183" s="14" t="n">
        <v>363</v>
      </c>
      <c r="F183" s="14" t="n">
        <v>1</v>
      </c>
      <c r="G183" s="14" t="n">
        <v>0.363</v>
      </c>
      <c r="H183" s="14"/>
      <c r="I183" s="14"/>
      <c r="J183" s="14" t="n">
        <v>67.65</v>
      </c>
      <c r="K183" s="14" t="n">
        <v>137.7</v>
      </c>
      <c r="L183" s="14" t="n">
        <v>2.48</v>
      </c>
      <c r="M183" s="14" t="n">
        <v>12.86</v>
      </c>
      <c r="N183" s="14" t="n">
        <v>4.93</v>
      </c>
      <c r="O183" s="14"/>
      <c r="P183" s="14" t="n">
        <v>1.5</v>
      </c>
      <c r="Q183" s="14"/>
      <c r="R183" s="14" t="n">
        <v>1.3</v>
      </c>
      <c r="S183" s="14" t="n">
        <v>160.77</v>
      </c>
      <c r="T183" s="14" t="n">
        <v>0.9</v>
      </c>
      <c r="U183" s="14" t="n">
        <v>10.65</v>
      </c>
      <c r="V183" s="14" t="n">
        <v>19.61</v>
      </c>
      <c r="W183" s="14" t="n">
        <v>191.93</v>
      </c>
      <c r="X183" s="14" t="n">
        <v>256.08</v>
      </c>
      <c r="Y183" s="14" t="n">
        <v>64.15</v>
      </c>
      <c r="Z183" s="14" t="n">
        <v>0.23</v>
      </c>
      <c r="AA183" s="14" t="n">
        <v>0</v>
      </c>
      <c r="AB183" s="14" t="n">
        <v>0</v>
      </c>
      <c r="AC183" s="14" t="n">
        <v>0</v>
      </c>
      <c r="AD183" s="15" t="n">
        <f aca="false">H183*E183/1000</f>
        <v>0</v>
      </c>
      <c r="AE183" s="15" t="n">
        <f aca="false">I183*E183/1000</f>
        <v>0</v>
      </c>
      <c r="AF183" s="16" t="n">
        <f aca="false">ROUND(S183+T183+U183+V183-W183,2)</f>
        <v>0</v>
      </c>
      <c r="AG183" s="16" t="n">
        <f aca="false">ROUND(X183-W183-Y183,2)</f>
        <v>0</v>
      </c>
    </row>
    <row r="184" customFormat="false" ht="15" hidden="false" customHeight="false" outlineLevel="0" collapsed="false">
      <c r="A184" s="13" t="s">
        <v>217</v>
      </c>
      <c r="B184" s="13" t="s">
        <v>277</v>
      </c>
      <c r="C184" s="13" t="s">
        <v>229</v>
      </c>
      <c r="D184" s="13" t="s">
        <v>282</v>
      </c>
      <c r="E184" s="14" t="n">
        <v>64</v>
      </c>
      <c r="F184" s="14" t="n">
        <v>246</v>
      </c>
      <c r="G184" s="14" t="n">
        <v>15.744</v>
      </c>
      <c r="H184" s="14" t="n">
        <v>11</v>
      </c>
      <c r="I184" s="14" t="n">
        <v>1</v>
      </c>
      <c r="J184" s="14" t="n">
        <v>69.22</v>
      </c>
      <c r="K184" s="14" t="n">
        <v>137.52</v>
      </c>
      <c r="L184" s="14" t="n">
        <v>2.43</v>
      </c>
      <c r="M184" s="14" t="n">
        <v>12.19</v>
      </c>
      <c r="N184" s="14" t="n">
        <v>4.93</v>
      </c>
      <c r="O184" s="14" t="n">
        <v>0.56</v>
      </c>
      <c r="P184" s="14" t="n">
        <v>1.5</v>
      </c>
      <c r="Q184" s="14"/>
      <c r="R184" s="14" t="n">
        <v>1.4</v>
      </c>
      <c r="S184" s="14" t="n">
        <v>160.53</v>
      </c>
      <c r="T184" s="14" t="n">
        <v>0.9</v>
      </c>
      <c r="U184" s="14" t="n">
        <v>10.65</v>
      </c>
      <c r="V184" s="14" t="n">
        <v>19.38</v>
      </c>
      <c r="W184" s="14" t="n">
        <v>191.47</v>
      </c>
      <c r="X184" s="14" t="n">
        <v>244.08</v>
      </c>
      <c r="Y184" s="14" t="n">
        <v>52.61</v>
      </c>
      <c r="Z184" s="14" t="n">
        <v>7.48</v>
      </c>
      <c r="AA184" s="14" t="n">
        <v>0.36</v>
      </c>
      <c r="AB184" s="14" t="n">
        <v>0.04</v>
      </c>
      <c r="AC184" s="14" t="n">
        <v>0.4</v>
      </c>
      <c r="AD184" s="15" t="n">
        <f aca="false">H184*E184/1000</f>
        <v>0.704</v>
      </c>
      <c r="AE184" s="15" t="n">
        <f aca="false">I184*E184/1000</f>
        <v>0.064</v>
      </c>
      <c r="AF184" s="16" t="n">
        <f aca="false">ROUND(S184+T184+U184+V184-W184,2)</f>
        <v>-0.01</v>
      </c>
      <c r="AG184" s="16" t="n">
        <f aca="false">ROUND(X184-W184-Y184,2)</f>
        <v>0</v>
      </c>
    </row>
    <row r="185" customFormat="false" ht="15" hidden="false" customHeight="false" outlineLevel="0" collapsed="false">
      <c r="A185" s="13" t="s">
        <v>217</v>
      </c>
      <c r="B185" s="13" t="s">
        <v>277</v>
      </c>
      <c r="C185" s="13" t="s">
        <v>229</v>
      </c>
      <c r="D185" s="13" t="s">
        <v>283</v>
      </c>
      <c r="E185" s="14" t="n">
        <v>47</v>
      </c>
      <c r="F185" s="14" t="n">
        <v>238</v>
      </c>
      <c r="G185" s="14" t="n">
        <v>11.186</v>
      </c>
      <c r="H185" s="14" t="n">
        <v>23</v>
      </c>
      <c r="I185" s="14"/>
      <c r="J185" s="14" t="n">
        <v>70.59</v>
      </c>
      <c r="K185" s="14" t="n">
        <v>137.38</v>
      </c>
      <c r="L185" s="14" t="n">
        <v>2.38</v>
      </c>
      <c r="M185" s="14" t="n">
        <v>11.48</v>
      </c>
      <c r="N185" s="14" t="n">
        <v>4.93</v>
      </c>
      <c r="O185" s="14" t="n">
        <v>0.45</v>
      </c>
      <c r="P185" s="14" t="n">
        <v>1.5</v>
      </c>
      <c r="Q185" s="14"/>
      <c r="R185" s="14" t="n">
        <v>1.4</v>
      </c>
      <c r="S185" s="14" t="n">
        <v>159.51</v>
      </c>
      <c r="T185" s="14" t="n">
        <v>0.9</v>
      </c>
      <c r="U185" s="14" t="n">
        <v>10.65</v>
      </c>
      <c r="V185" s="14" t="n">
        <v>19.2</v>
      </c>
      <c r="W185" s="14" t="n">
        <v>190.26</v>
      </c>
      <c r="X185" s="14" t="n">
        <v>244.08</v>
      </c>
      <c r="Y185" s="14" t="n">
        <v>53.82</v>
      </c>
      <c r="Z185" s="14" t="n">
        <v>4.9</v>
      </c>
      <c r="AA185" s="14" t="n">
        <v>0.54</v>
      </c>
      <c r="AB185" s="14" t="n">
        <v>0</v>
      </c>
      <c r="AC185" s="14" t="n">
        <v>0.58</v>
      </c>
      <c r="AD185" s="15" t="n">
        <f aca="false">H185*E185/1000</f>
        <v>1.081</v>
      </c>
      <c r="AE185" s="15" t="n">
        <f aca="false">I185*E185/1000</f>
        <v>0</v>
      </c>
      <c r="AF185" s="16" t="n">
        <f aca="false">ROUND(S185+T185+U185+V185-W185,2)</f>
        <v>0</v>
      </c>
      <c r="AG185" s="16" t="n">
        <f aca="false">ROUND(X185-W185-Y185,2)</f>
        <v>0</v>
      </c>
    </row>
    <row r="186" customFormat="false" ht="15" hidden="false" customHeight="false" outlineLevel="0" collapsed="false">
      <c r="A186" s="13" t="s">
        <v>217</v>
      </c>
      <c r="B186" s="13" t="s">
        <v>277</v>
      </c>
      <c r="C186" s="13" t="s">
        <v>229</v>
      </c>
      <c r="D186" s="13" t="s">
        <v>284</v>
      </c>
      <c r="E186" s="14" t="n">
        <v>46</v>
      </c>
      <c r="F186" s="14" t="n">
        <v>50</v>
      </c>
      <c r="G186" s="14" t="n">
        <v>2.3</v>
      </c>
      <c r="H186" s="14" t="n">
        <v>10</v>
      </c>
      <c r="I186" s="14"/>
      <c r="J186" s="14" t="n">
        <v>62.75</v>
      </c>
      <c r="K186" s="14" t="n">
        <v>138.3</v>
      </c>
      <c r="L186" s="14" t="n">
        <v>2.68</v>
      </c>
      <c r="M186" s="14" t="n">
        <v>13.36</v>
      </c>
      <c r="N186" s="14" t="n">
        <v>4.93</v>
      </c>
      <c r="O186" s="14" t="n">
        <v>0.45</v>
      </c>
      <c r="P186" s="14" t="n">
        <v>1.5</v>
      </c>
      <c r="Q186" s="14"/>
      <c r="R186" s="14" t="n">
        <v>1.4</v>
      </c>
      <c r="S186" s="14" t="n">
        <v>162.61</v>
      </c>
      <c r="T186" s="14" t="n">
        <v>0.9</v>
      </c>
      <c r="U186" s="14" t="n">
        <v>10.65</v>
      </c>
      <c r="V186" s="14" t="n">
        <v>20.38</v>
      </c>
      <c r="W186" s="14" t="n">
        <v>194.54</v>
      </c>
      <c r="X186" s="14" t="n">
        <v>244.08</v>
      </c>
      <c r="Y186" s="14" t="n">
        <v>49.54</v>
      </c>
      <c r="Z186" s="14" t="n">
        <v>0.66</v>
      </c>
      <c r="AA186" s="14" t="n">
        <v>0.25</v>
      </c>
      <c r="AB186" s="14" t="n">
        <v>0</v>
      </c>
      <c r="AC186" s="14" t="n">
        <v>0.23</v>
      </c>
      <c r="AD186" s="15" t="n">
        <f aca="false">H186*E186/1000</f>
        <v>0.46</v>
      </c>
      <c r="AE186" s="15" t="n">
        <f aca="false">I186*E186/1000</f>
        <v>0</v>
      </c>
      <c r="AF186" s="16" t="n">
        <f aca="false">ROUND(S186+T186+U186+V186-W186,2)</f>
        <v>0</v>
      </c>
      <c r="AG186" s="16" t="n">
        <f aca="false">ROUND(X186-W186-Y186,2)</f>
        <v>0</v>
      </c>
    </row>
    <row r="187" customFormat="false" ht="15" hidden="false" customHeight="false" outlineLevel="0" collapsed="false">
      <c r="A187" s="13" t="s">
        <v>217</v>
      </c>
      <c r="B187" s="13" t="s">
        <v>277</v>
      </c>
      <c r="C187" s="13" t="s">
        <v>229</v>
      </c>
      <c r="D187" s="13" t="s">
        <v>285</v>
      </c>
      <c r="E187" s="14" t="n">
        <v>46</v>
      </c>
      <c r="F187" s="14" t="n">
        <v>52</v>
      </c>
      <c r="G187" s="14" t="n">
        <v>2.392</v>
      </c>
      <c r="H187" s="14" t="n">
        <v>13</v>
      </c>
      <c r="I187" s="14"/>
      <c r="J187" s="14" t="n">
        <v>62.75</v>
      </c>
      <c r="K187" s="14" t="n">
        <v>138.3</v>
      </c>
      <c r="L187" s="14" t="n">
        <v>2.68</v>
      </c>
      <c r="M187" s="14" t="n">
        <v>13.36</v>
      </c>
      <c r="N187" s="14" t="n">
        <v>4.93</v>
      </c>
      <c r="O187" s="14" t="n">
        <v>0.45</v>
      </c>
      <c r="P187" s="14" t="n">
        <v>1.5</v>
      </c>
      <c r="Q187" s="14"/>
      <c r="R187" s="14" t="n">
        <v>1.4</v>
      </c>
      <c r="S187" s="14" t="n">
        <v>162.61</v>
      </c>
      <c r="T187" s="14" t="n">
        <v>0.9</v>
      </c>
      <c r="U187" s="14" t="n">
        <v>10.65</v>
      </c>
      <c r="V187" s="14" t="n">
        <v>20.38</v>
      </c>
      <c r="W187" s="14" t="n">
        <v>194.54</v>
      </c>
      <c r="X187" s="14" t="n">
        <v>244.08</v>
      </c>
      <c r="Y187" s="14" t="n">
        <v>49.54</v>
      </c>
      <c r="Z187" s="14" t="n">
        <v>0.56</v>
      </c>
      <c r="AA187" s="14" t="n">
        <v>0.32</v>
      </c>
      <c r="AB187" s="14" t="n">
        <v>0</v>
      </c>
      <c r="AC187" s="14" t="n">
        <v>0.3</v>
      </c>
      <c r="AD187" s="15" t="n">
        <f aca="false">H187*E187/1000</f>
        <v>0.598</v>
      </c>
      <c r="AE187" s="15" t="n">
        <f aca="false">I187*E187/1000</f>
        <v>0</v>
      </c>
      <c r="AF187" s="16" t="n">
        <f aca="false">ROUND(S187+T187+U187+V187-W187,2)</f>
        <v>0</v>
      </c>
      <c r="AG187" s="16" t="n">
        <f aca="false">ROUND(X187-W187-Y187,2)</f>
        <v>0</v>
      </c>
    </row>
    <row r="188" customFormat="false" ht="15" hidden="false" customHeight="false" outlineLevel="0" collapsed="false">
      <c r="A188" s="13" t="s">
        <v>217</v>
      </c>
      <c r="B188" s="13" t="s">
        <v>277</v>
      </c>
      <c r="C188" s="13" t="s">
        <v>234</v>
      </c>
      <c r="D188" s="13" t="s">
        <v>257</v>
      </c>
      <c r="E188" s="14" t="n">
        <v>46.5</v>
      </c>
      <c r="F188" s="14" t="n">
        <v>364</v>
      </c>
      <c r="G188" s="14" t="n">
        <v>16.926</v>
      </c>
      <c r="H188" s="14" t="n">
        <v>18</v>
      </c>
      <c r="I188" s="14" t="n">
        <v>3</v>
      </c>
      <c r="J188" s="14" t="n">
        <v>67.23</v>
      </c>
      <c r="K188" s="14" t="n">
        <v>128.24</v>
      </c>
      <c r="L188" s="14" t="n">
        <v>2.5</v>
      </c>
      <c r="M188" s="14" t="n">
        <v>13.58</v>
      </c>
      <c r="N188" s="14" t="n">
        <v>4.93</v>
      </c>
      <c r="O188" s="14" t="n">
        <v>0.57</v>
      </c>
      <c r="P188" s="14" t="n">
        <v>1.5</v>
      </c>
      <c r="Q188" s="14"/>
      <c r="R188" s="14" t="n">
        <v>1.4</v>
      </c>
      <c r="S188" s="14" t="n">
        <v>152.72</v>
      </c>
      <c r="T188" s="14" t="n">
        <v>0.9</v>
      </c>
      <c r="U188" s="14" t="n">
        <v>10.65</v>
      </c>
      <c r="V188" s="14" t="n">
        <v>19.5</v>
      </c>
      <c r="W188" s="14" t="n">
        <v>183.76</v>
      </c>
      <c r="X188" s="14" t="n">
        <v>232.06</v>
      </c>
      <c r="Y188" s="14" t="n">
        <v>48.3</v>
      </c>
      <c r="Z188" s="14" t="n">
        <v>7.18</v>
      </c>
      <c r="AA188" s="14" t="n">
        <v>0.44</v>
      </c>
      <c r="AB188" s="14" t="n">
        <v>0.08</v>
      </c>
      <c r="AC188" s="14" t="n">
        <v>0.47</v>
      </c>
      <c r="AD188" s="15" t="n">
        <f aca="false">H188*E188/1000</f>
        <v>0.837</v>
      </c>
      <c r="AE188" s="15" t="n">
        <f aca="false">I188*E188/1000</f>
        <v>0.1395</v>
      </c>
      <c r="AF188" s="16" t="n">
        <f aca="false">ROUND(S188+T188+U188+V188-W188,2)</f>
        <v>0.01</v>
      </c>
      <c r="AG188" s="16" t="n">
        <f aca="false">ROUND(X188-W188-Y188,2)</f>
        <v>0</v>
      </c>
    </row>
    <row r="189" customFormat="false" ht="15" hidden="false" customHeight="false" outlineLevel="0" collapsed="false">
      <c r="A189" s="13" t="s">
        <v>217</v>
      </c>
      <c r="B189" s="13" t="s">
        <v>277</v>
      </c>
      <c r="C189" s="13" t="s">
        <v>234</v>
      </c>
      <c r="D189" s="13" t="s">
        <v>258</v>
      </c>
      <c r="E189" s="14" t="n">
        <v>46.5</v>
      </c>
      <c r="F189" s="14" t="n">
        <v>360</v>
      </c>
      <c r="G189" s="14" t="n">
        <v>16.74</v>
      </c>
      <c r="H189" s="14" t="n">
        <v>23</v>
      </c>
      <c r="I189" s="14"/>
      <c r="J189" s="14" t="n">
        <v>67.23</v>
      </c>
      <c r="K189" s="14" t="n">
        <v>128.24</v>
      </c>
      <c r="L189" s="14" t="n">
        <v>2.5</v>
      </c>
      <c r="M189" s="14" t="n">
        <v>13.58</v>
      </c>
      <c r="N189" s="14" t="n">
        <v>4.93</v>
      </c>
      <c r="O189" s="14" t="n">
        <v>0.57</v>
      </c>
      <c r="P189" s="14" t="n">
        <v>1.5</v>
      </c>
      <c r="Q189" s="14"/>
      <c r="R189" s="14" t="n">
        <v>1.4</v>
      </c>
      <c r="S189" s="14" t="n">
        <v>152.72</v>
      </c>
      <c r="T189" s="14" t="n">
        <v>0.9</v>
      </c>
      <c r="U189" s="14" t="n">
        <v>10.65</v>
      </c>
      <c r="V189" s="14" t="n">
        <v>19.5</v>
      </c>
      <c r="W189" s="14" t="n">
        <v>183.76</v>
      </c>
      <c r="X189" s="14" t="n">
        <v>232.06</v>
      </c>
      <c r="Y189" s="14" t="n">
        <v>48.3</v>
      </c>
      <c r="Z189" s="14" t="n">
        <v>7.01</v>
      </c>
      <c r="AA189" s="14" t="n">
        <v>0.56</v>
      </c>
      <c r="AB189" s="14" t="n">
        <v>0</v>
      </c>
      <c r="AC189" s="14" t="n">
        <v>0.52</v>
      </c>
      <c r="AD189" s="15" t="n">
        <f aca="false">H189*E189/1000</f>
        <v>1.0695</v>
      </c>
      <c r="AE189" s="15" t="n">
        <f aca="false">I189*E189/1000</f>
        <v>0</v>
      </c>
      <c r="AF189" s="16" t="n">
        <f aca="false">ROUND(S189+T189+U189+V189-W189,2)</f>
        <v>0.01</v>
      </c>
      <c r="AG189" s="16" t="n">
        <f aca="false">ROUND(X189-W189-Y189,2)</f>
        <v>0</v>
      </c>
    </row>
    <row r="190" customFormat="false" ht="15" hidden="false" customHeight="false" outlineLevel="0" collapsed="false">
      <c r="A190" s="13" t="s">
        <v>217</v>
      </c>
      <c r="B190" s="13" t="s">
        <v>277</v>
      </c>
      <c r="C190" s="13" t="s">
        <v>234</v>
      </c>
      <c r="D190" s="13" t="s">
        <v>279</v>
      </c>
      <c r="E190" s="14" t="n">
        <v>350</v>
      </c>
      <c r="F190" s="14" t="n">
        <v>2</v>
      </c>
      <c r="G190" s="14" t="n">
        <v>0.7</v>
      </c>
      <c r="H190" s="14"/>
      <c r="I190" s="14"/>
      <c r="J190" s="14" t="n">
        <v>66.67</v>
      </c>
      <c r="K190" s="14" t="n">
        <v>128.3</v>
      </c>
      <c r="L190" s="14" t="n">
        <v>2.52</v>
      </c>
      <c r="M190" s="14" t="n">
        <v>13.04</v>
      </c>
      <c r="N190" s="14" t="n">
        <v>4.93</v>
      </c>
      <c r="O190" s="14"/>
      <c r="P190" s="14" t="n">
        <v>1.5</v>
      </c>
      <c r="Q190" s="14"/>
      <c r="R190" s="14" t="n">
        <v>1.4</v>
      </c>
      <c r="S190" s="14" t="n">
        <v>151.69</v>
      </c>
      <c r="T190" s="14" t="n">
        <v>0.9</v>
      </c>
      <c r="U190" s="14" t="n">
        <v>10.65</v>
      </c>
      <c r="V190" s="14" t="n">
        <v>19.58</v>
      </c>
      <c r="W190" s="14" t="n">
        <v>182.82</v>
      </c>
      <c r="X190" s="14" t="n">
        <v>256.08</v>
      </c>
      <c r="Y190" s="14" t="n">
        <v>73.26</v>
      </c>
      <c r="Z190" s="14" t="n">
        <v>0.51</v>
      </c>
      <c r="AA190" s="14" t="n">
        <v>0</v>
      </c>
      <c r="AB190" s="14" t="n">
        <v>0</v>
      </c>
      <c r="AC190" s="14" t="n">
        <v>0</v>
      </c>
      <c r="AD190" s="15" t="n">
        <f aca="false">H190*E190/1000</f>
        <v>0</v>
      </c>
      <c r="AE190" s="15" t="n">
        <f aca="false">I190*E190/1000</f>
        <v>0</v>
      </c>
      <c r="AF190" s="16" t="n">
        <f aca="false">ROUND(S190+T190+U190+V190-W190,2)</f>
        <v>0</v>
      </c>
      <c r="AG190" s="16" t="n">
        <f aca="false">ROUND(X190-W190-Y190,2)</f>
        <v>0</v>
      </c>
    </row>
    <row r="191" customFormat="false" ht="15" hidden="false" customHeight="false" outlineLevel="0" collapsed="false">
      <c r="A191" s="13" t="s">
        <v>217</v>
      </c>
      <c r="B191" s="13" t="s">
        <v>277</v>
      </c>
      <c r="C191" s="13" t="s">
        <v>234</v>
      </c>
      <c r="D191" s="13" t="s">
        <v>284</v>
      </c>
      <c r="E191" s="14" t="n">
        <v>46</v>
      </c>
      <c r="F191" s="14" t="n">
        <v>14</v>
      </c>
      <c r="G191" s="14" t="n">
        <v>0.644</v>
      </c>
      <c r="H191" s="14" t="n">
        <v>12</v>
      </c>
      <c r="I191" s="14" t="n">
        <v>1</v>
      </c>
      <c r="J191" s="14" t="n">
        <v>62.75</v>
      </c>
      <c r="K191" s="14" t="n">
        <v>128.76</v>
      </c>
      <c r="L191" s="14" t="n">
        <v>2.68</v>
      </c>
      <c r="M191" s="14" t="n">
        <v>13.63</v>
      </c>
      <c r="N191" s="14" t="n">
        <v>4.93</v>
      </c>
      <c r="O191" s="14" t="n">
        <v>0.57</v>
      </c>
      <c r="P191" s="14" t="n">
        <v>1.5</v>
      </c>
      <c r="Q191" s="14"/>
      <c r="R191" s="14" t="n">
        <v>1.4</v>
      </c>
      <c r="S191" s="14" t="n">
        <v>153.46</v>
      </c>
      <c r="T191" s="14" t="n">
        <v>0.9</v>
      </c>
      <c r="U191" s="14" t="n">
        <v>10.65</v>
      </c>
      <c r="V191" s="14" t="n">
        <v>20.2</v>
      </c>
      <c r="W191" s="14" t="n">
        <v>185.21</v>
      </c>
      <c r="X191" s="14" t="n">
        <v>244.08</v>
      </c>
      <c r="Y191" s="14" t="n">
        <v>58.87</v>
      </c>
      <c r="Z191" s="14" t="n">
        <v>-0.3</v>
      </c>
      <c r="AA191" s="14" t="n">
        <v>0.3</v>
      </c>
      <c r="AB191" s="14" t="n">
        <v>0.03</v>
      </c>
      <c r="AC191" s="14" t="n">
        <v>0.35</v>
      </c>
      <c r="AD191" s="15" t="n">
        <f aca="false">H191*E191/1000</f>
        <v>0.552</v>
      </c>
      <c r="AE191" s="15" t="n">
        <f aca="false">I191*E191/1000</f>
        <v>0.046</v>
      </c>
      <c r="AF191" s="16" t="n">
        <f aca="false">ROUND(S191+T191+U191+V191-W191,2)</f>
        <v>0</v>
      </c>
      <c r="AG191" s="16" t="n">
        <f aca="false">ROUND(X191-W191-Y191,2)</f>
        <v>0</v>
      </c>
    </row>
    <row r="192" customFormat="false" ht="15" hidden="false" customHeight="false" outlineLevel="0" collapsed="false">
      <c r="A192" s="13" t="s">
        <v>217</v>
      </c>
      <c r="B192" s="13" t="s">
        <v>277</v>
      </c>
      <c r="C192" s="13" t="s">
        <v>268</v>
      </c>
      <c r="D192" s="13" t="s">
        <v>231</v>
      </c>
      <c r="E192" s="14" t="n">
        <v>26.17</v>
      </c>
      <c r="F192" s="14" t="n">
        <v>150</v>
      </c>
      <c r="G192" s="14" t="n">
        <v>3.93</v>
      </c>
      <c r="H192" s="14"/>
      <c r="I192" s="14"/>
      <c r="J192" s="14" t="n">
        <v>65.78</v>
      </c>
      <c r="K192" s="14" t="n">
        <v>131.13</v>
      </c>
      <c r="L192" s="14" t="n">
        <v>2.55</v>
      </c>
      <c r="M192" s="14" t="n">
        <v>16.22</v>
      </c>
      <c r="N192" s="14" t="n">
        <v>5.5</v>
      </c>
      <c r="O192" s="14" t="n">
        <v>0.54</v>
      </c>
      <c r="P192" s="14" t="n">
        <v>1.5</v>
      </c>
      <c r="Q192" s="14"/>
      <c r="R192" s="14" t="n">
        <v>1.4</v>
      </c>
      <c r="S192" s="14" t="n">
        <v>158.84</v>
      </c>
      <c r="T192" s="14" t="n">
        <v>0.9</v>
      </c>
      <c r="U192" s="14" t="n">
        <v>10.65</v>
      </c>
      <c r="V192" s="14" t="n">
        <v>19.71</v>
      </c>
      <c r="W192" s="14" t="n">
        <v>190.1</v>
      </c>
      <c r="X192" s="14" t="n">
        <v>234.93</v>
      </c>
      <c r="Y192" s="14" t="n">
        <v>44.83</v>
      </c>
      <c r="Z192" s="14" t="n">
        <v>1.76</v>
      </c>
      <c r="AA192" s="14" t="n">
        <v>0</v>
      </c>
      <c r="AB192" s="14" t="n">
        <v>0</v>
      </c>
      <c r="AC192" s="14" t="n">
        <v>0</v>
      </c>
      <c r="AD192" s="15" t="n">
        <f aca="false">H192*E192/1000</f>
        <v>0</v>
      </c>
      <c r="AE192" s="15" t="n">
        <f aca="false">I192*E192/1000</f>
        <v>0</v>
      </c>
      <c r="AF192" s="16" t="n">
        <f aca="false">ROUND(S192+T192+U192+V192-W192,2)</f>
        <v>0</v>
      </c>
      <c r="AG192" s="16" t="n">
        <f aca="false">ROUND(X192-W192-Y192,2)</f>
        <v>0</v>
      </c>
    </row>
    <row r="193" customFormat="false" ht="15" hidden="false" customHeight="false" outlineLevel="0" collapsed="false">
      <c r="A193" s="13" t="s">
        <v>217</v>
      </c>
      <c r="B193" s="13" t="s">
        <v>277</v>
      </c>
      <c r="C193" s="13" t="s">
        <v>268</v>
      </c>
      <c r="D193" s="13" t="s">
        <v>230</v>
      </c>
      <c r="E193" s="14" t="n">
        <v>34.5</v>
      </c>
      <c r="F193" s="14" t="n">
        <v>144</v>
      </c>
      <c r="G193" s="14" t="n">
        <v>4.97</v>
      </c>
      <c r="H193" s="14" t="n">
        <v>2</v>
      </c>
      <c r="I193" s="14" t="n">
        <v>1</v>
      </c>
      <c r="J193" s="14" t="n">
        <v>69.03</v>
      </c>
      <c r="K193" s="14" t="n">
        <v>130.77</v>
      </c>
      <c r="L193" s="14" t="n">
        <v>2.43</v>
      </c>
      <c r="M193" s="14" t="n">
        <v>13.87</v>
      </c>
      <c r="N193" s="14" t="n">
        <v>5.5</v>
      </c>
      <c r="O193" s="14" t="n">
        <v>0.54</v>
      </c>
      <c r="P193" s="14" t="n">
        <v>1.5</v>
      </c>
      <c r="Q193" s="14"/>
      <c r="R193" s="14" t="n">
        <v>1.4</v>
      </c>
      <c r="S193" s="14" t="n">
        <v>156.01</v>
      </c>
      <c r="T193" s="14" t="n">
        <v>0.9</v>
      </c>
      <c r="U193" s="14" t="n">
        <v>10.65</v>
      </c>
      <c r="V193" s="14" t="n">
        <v>19.24</v>
      </c>
      <c r="W193" s="14" t="n">
        <v>186.8</v>
      </c>
      <c r="X193" s="14" t="n">
        <v>234.93</v>
      </c>
      <c r="Y193" s="14" t="n">
        <v>48.13</v>
      </c>
      <c r="Z193" s="14" t="n">
        <v>2.28</v>
      </c>
      <c r="AA193" s="14" t="n">
        <v>0.04</v>
      </c>
      <c r="AB193" s="14" t="n">
        <v>0.02</v>
      </c>
      <c r="AC193" s="14" t="n">
        <v>0.05</v>
      </c>
      <c r="AD193" s="15" t="n">
        <f aca="false">H193*E193/1000</f>
        <v>0.069</v>
      </c>
      <c r="AE193" s="15" t="n">
        <f aca="false">I193*E193/1000</f>
        <v>0.0345</v>
      </c>
      <c r="AF193" s="16" t="n">
        <f aca="false">ROUND(S193+T193+U193+V193-W193,2)</f>
        <v>0</v>
      </c>
      <c r="AG193" s="16" t="n">
        <f aca="false">ROUND(X193-W193-Y193,2)</f>
        <v>0</v>
      </c>
    </row>
    <row r="194" customFormat="false" ht="15" hidden="false" customHeight="false" outlineLevel="0" collapsed="false">
      <c r="A194" s="13" t="s">
        <v>217</v>
      </c>
      <c r="B194" s="13" t="s">
        <v>277</v>
      </c>
      <c r="C194" s="13" t="s">
        <v>268</v>
      </c>
      <c r="D194" s="13" t="s">
        <v>236</v>
      </c>
      <c r="E194" s="14" t="n">
        <v>31.66</v>
      </c>
      <c r="F194" s="14" t="n">
        <v>136</v>
      </c>
      <c r="G194" s="14" t="n">
        <v>4.31</v>
      </c>
      <c r="H194" s="14"/>
      <c r="I194" s="14"/>
      <c r="J194" s="14" t="n">
        <v>61.09</v>
      </c>
      <c r="K194" s="14" t="n">
        <v>131.7</v>
      </c>
      <c r="L194" s="14" t="n">
        <v>2.75</v>
      </c>
      <c r="M194" s="14" t="n">
        <v>15.97</v>
      </c>
      <c r="N194" s="14" t="n">
        <v>5.5</v>
      </c>
      <c r="O194" s="14" t="n">
        <v>0.54</v>
      </c>
      <c r="P194" s="14" t="n">
        <v>1.5</v>
      </c>
      <c r="Q194" s="14"/>
      <c r="R194" s="14" t="n">
        <v>1.1</v>
      </c>
      <c r="S194" s="14" t="n">
        <v>159.06</v>
      </c>
      <c r="T194" s="14" t="n">
        <v>0.9</v>
      </c>
      <c r="U194" s="14" t="n">
        <v>10.65</v>
      </c>
      <c r="V194" s="14" t="n">
        <v>20.48</v>
      </c>
      <c r="W194" s="14" t="n">
        <v>191.1</v>
      </c>
      <c r="X194" s="14" t="n">
        <v>234.93</v>
      </c>
      <c r="Y194" s="14" t="n">
        <v>43.83</v>
      </c>
      <c r="Z194" s="14" t="n">
        <v>1.89</v>
      </c>
      <c r="AA194" s="14" t="n">
        <v>0</v>
      </c>
      <c r="AB194" s="14" t="n">
        <v>0</v>
      </c>
      <c r="AC194" s="14" t="n">
        <v>0</v>
      </c>
      <c r="AD194" s="15" t="n">
        <f aca="false">H194*E194/1000</f>
        <v>0</v>
      </c>
      <c r="AE194" s="15" t="n">
        <f aca="false">I194*E194/1000</f>
        <v>0</v>
      </c>
      <c r="AF194" s="16" t="n">
        <f aca="false">ROUND(S194+T194+U194+V194-W194,2)</f>
        <v>-0.01</v>
      </c>
      <c r="AG194" s="16" t="n">
        <f aca="false">ROUND(X194-W194-Y194,2)</f>
        <v>0</v>
      </c>
    </row>
    <row r="195" customFormat="false" ht="15" hidden="false" customHeight="false" outlineLevel="0" collapsed="false">
      <c r="A195" s="13" t="s">
        <v>217</v>
      </c>
      <c r="B195" s="13" t="s">
        <v>277</v>
      </c>
      <c r="C195" s="13" t="s">
        <v>268</v>
      </c>
      <c r="D195" s="13" t="s">
        <v>286</v>
      </c>
      <c r="E195" s="14" t="n">
        <v>43.51</v>
      </c>
      <c r="F195" s="14" t="n">
        <v>284</v>
      </c>
      <c r="G195" s="14" t="n">
        <v>12.357</v>
      </c>
      <c r="H195" s="14" t="n">
        <v>2</v>
      </c>
      <c r="I195" s="14"/>
      <c r="J195" s="14" t="n">
        <v>67.42</v>
      </c>
      <c r="K195" s="14" t="n">
        <v>130.94</v>
      </c>
      <c r="L195" s="14" t="n">
        <v>2.49</v>
      </c>
      <c r="M195" s="14" t="n">
        <v>15.57</v>
      </c>
      <c r="N195" s="14" t="n">
        <v>5.5</v>
      </c>
      <c r="O195" s="14" t="n">
        <v>0.45</v>
      </c>
      <c r="P195" s="14" t="n">
        <v>1.5</v>
      </c>
      <c r="Q195" s="14"/>
      <c r="R195" s="14" t="n">
        <v>1.1</v>
      </c>
      <c r="S195" s="14" t="n">
        <v>157.56</v>
      </c>
      <c r="T195" s="14" t="n">
        <v>0.9</v>
      </c>
      <c r="U195" s="14" t="n">
        <v>10.65</v>
      </c>
      <c r="V195" s="14" t="n">
        <v>19.47</v>
      </c>
      <c r="W195" s="14" t="n">
        <v>188.57</v>
      </c>
      <c r="X195" s="14" t="n">
        <v>234.93</v>
      </c>
      <c r="Y195" s="14" t="n">
        <v>46.36</v>
      </c>
      <c r="Z195" s="14" t="n">
        <v>5.64</v>
      </c>
      <c r="AA195" s="14" t="n">
        <v>0.05</v>
      </c>
      <c r="AB195" s="14" t="n">
        <v>0</v>
      </c>
      <c r="AC195" s="14" t="n">
        <v>0.04</v>
      </c>
      <c r="AD195" s="15" t="n">
        <f aca="false">H195*E195/1000</f>
        <v>0.08702</v>
      </c>
      <c r="AE195" s="15" t="n">
        <f aca="false">I195*E195/1000</f>
        <v>0</v>
      </c>
      <c r="AF195" s="16" t="n">
        <f aca="false">ROUND(S195+T195+U195+V195-W195,2)</f>
        <v>0.01</v>
      </c>
      <c r="AG195" s="16" t="n">
        <f aca="false">ROUND(X195-W195-Y195,2)</f>
        <v>0</v>
      </c>
    </row>
    <row r="196" customFormat="false" ht="15" hidden="false" customHeight="false" outlineLevel="0" collapsed="false">
      <c r="A196" s="13" t="s">
        <v>217</v>
      </c>
      <c r="B196" s="13" t="s">
        <v>277</v>
      </c>
      <c r="C196" s="13" t="s">
        <v>268</v>
      </c>
      <c r="D196" s="13" t="s">
        <v>233</v>
      </c>
      <c r="E196" s="14" t="n">
        <v>22.5</v>
      </c>
      <c r="F196" s="14" t="n">
        <v>150</v>
      </c>
      <c r="G196" s="14" t="n">
        <v>3.38</v>
      </c>
      <c r="H196" s="14" t="n">
        <v>1</v>
      </c>
      <c r="I196" s="14"/>
      <c r="J196" s="14" t="n">
        <v>63.96</v>
      </c>
      <c r="K196" s="14" t="n">
        <v>131.34</v>
      </c>
      <c r="L196" s="14" t="n">
        <v>2.63</v>
      </c>
      <c r="M196" s="14" t="n">
        <v>16.5</v>
      </c>
      <c r="N196" s="14" t="n">
        <v>5.5</v>
      </c>
      <c r="O196" s="14" t="n">
        <v>0.45</v>
      </c>
      <c r="P196" s="14" t="n">
        <v>1.5</v>
      </c>
      <c r="Q196" s="14"/>
      <c r="R196" s="14" t="n">
        <v>1.1</v>
      </c>
      <c r="S196" s="14" t="n">
        <v>159.01</v>
      </c>
      <c r="T196" s="14" t="n">
        <v>0.9</v>
      </c>
      <c r="U196" s="14" t="n">
        <v>10.65</v>
      </c>
      <c r="V196" s="14" t="n">
        <v>20</v>
      </c>
      <c r="W196" s="14" t="n">
        <v>190.56</v>
      </c>
      <c r="X196" s="14" t="n">
        <v>234.93</v>
      </c>
      <c r="Y196" s="14" t="n">
        <v>44.37</v>
      </c>
      <c r="Z196" s="14" t="n">
        <v>1.47</v>
      </c>
      <c r="AA196" s="14" t="n">
        <v>0.01</v>
      </c>
      <c r="AB196" s="14" t="n">
        <v>0</v>
      </c>
      <c r="AC196" s="14" t="n">
        <v>0.01</v>
      </c>
      <c r="AD196" s="15" t="n">
        <f aca="false">H196*E196/1000</f>
        <v>0.0225</v>
      </c>
      <c r="AE196" s="15" t="n">
        <f aca="false">I196*E196/1000</f>
        <v>0</v>
      </c>
      <c r="AF196" s="16" t="n">
        <f aca="false">ROUND(S196+T196+U196+V196-W196,2)</f>
        <v>0</v>
      </c>
      <c r="AG196" s="16" t="n">
        <f aca="false">ROUND(X196-W196-Y196,2)</f>
        <v>0</v>
      </c>
    </row>
    <row r="197" customFormat="false" ht="15" hidden="false" customHeight="false" outlineLevel="0" collapsed="false">
      <c r="A197" s="13" t="s">
        <v>217</v>
      </c>
      <c r="B197" s="13" t="s">
        <v>277</v>
      </c>
      <c r="C197" s="13" t="s">
        <v>268</v>
      </c>
      <c r="D197" s="13" t="s">
        <v>287</v>
      </c>
      <c r="E197" s="14" t="n">
        <v>48</v>
      </c>
      <c r="F197" s="14" t="n">
        <v>45</v>
      </c>
      <c r="G197" s="14" t="n">
        <v>2.16</v>
      </c>
      <c r="H197" s="14"/>
      <c r="I197" s="14"/>
      <c r="J197" s="14" t="n">
        <v>63.87</v>
      </c>
      <c r="K197" s="14" t="n">
        <v>131.35</v>
      </c>
      <c r="L197" s="14" t="n">
        <v>2.63</v>
      </c>
      <c r="M197" s="14" t="n">
        <v>19</v>
      </c>
      <c r="N197" s="14" t="n">
        <v>5.5</v>
      </c>
      <c r="O197" s="14" t="n">
        <v>0.45</v>
      </c>
      <c r="P197" s="14" t="n">
        <v>1.5</v>
      </c>
      <c r="Q197" s="14"/>
      <c r="R197" s="14" t="n">
        <v>1.1</v>
      </c>
      <c r="S197" s="14" t="n">
        <v>161.53</v>
      </c>
      <c r="T197" s="14" t="n">
        <v>0.9</v>
      </c>
      <c r="U197" s="14" t="n">
        <v>10.65</v>
      </c>
      <c r="V197" s="14" t="n">
        <v>20.01</v>
      </c>
      <c r="W197" s="14" t="n">
        <v>193.09</v>
      </c>
      <c r="X197" s="14" t="n">
        <v>234.93</v>
      </c>
      <c r="Y197" s="14" t="n">
        <v>41.84</v>
      </c>
      <c r="Z197" s="14" t="n">
        <v>0.9</v>
      </c>
      <c r="AA197" s="14" t="n">
        <v>0</v>
      </c>
      <c r="AB197" s="14" t="n">
        <v>0</v>
      </c>
      <c r="AC197" s="14" t="n">
        <v>0</v>
      </c>
      <c r="AD197" s="15" t="n">
        <f aca="false">H197*E197/1000</f>
        <v>0</v>
      </c>
      <c r="AE197" s="15" t="n">
        <f aca="false">I197*E197/1000</f>
        <v>0</v>
      </c>
      <c r="AF197" s="16" t="n">
        <f aca="false">ROUND(S197+T197+U197+V197-W197,2)</f>
        <v>0</v>
      </c>
      <c r="AG197" s="16" t="n">
        <f aca="false">ROUND(X197-W197-Y197,2)</f>
        <v>0</v>
      </c>
    </row>
    <row r="198" customFormat="false" ht="15" hidden="false" customHeight="false" outlineLevel="0" collapsed="false">
      <c r="A198" s="13" t="s">
        <v>217</v>
      </c>
      <c r="B198" s="13" t="s">
        <v>277</v>
      </c>
      <c r="C198" s="13" t="s">
        <v>268</v>
      </c>
      <c r="D198" s="13" t="s">
        <v>288</v>
      </c>
      <c r="E198" s="14" t="n">
        <v>27.9</v>
      </c>
      <c r="F198" s="14" t="n">
        <v>150</v>
      </c>
      <c r="G198" s="14" t="n">
        <v>4.185</v>
      </c>
      <c r="H198" s="14" t="n">
        <v>7</v>
      </c>
      <c r="I198" s="14"/>
      <c r="J198" s="14" t="n">
        <v>65.65</v>
      </c>
      <c r="K198" s="14" t="n">
        <v>131.14</v>
      </c>
      <c r="L198" s="14" t="n">
        <v>2.56</v>
      </c>
      <c r="M198" s="14" t="n">
        <v>15.42</v>
      </c>
      <c r="N198" s="14" t="n">
        <v>5.5</v>
      </c>
      <c r="O198" s="14" t="n">
        <v>0.45</v>
      </c>
      <c r="P198" s="14" t="n">
        <v>1.5</v>
      </c>
      <c r="Q198" s="14"/>
      <c r="R198" s="14" t="n">
        <v>1.1</v>
      </c>
      <c r="S198" s="14" t="n">
        <v>157.67</v>
      </c>
      <c r="T198" s="14" t="n">
        <v>0.9</v>
      </c>
      <c r="U198" s="14" t="n">
        <v>10.65</v>
      </c>
      <c r="V198" s="14" t="n">
        <v>19.73</v>
      </c>
      <c r="W198" s="14" t="n">
        <v>188.95</v>
      </c>
      <c r="X198" s="14" t="n">
        <v>234.93</v>
      </c>
      <c r="Y198" s="14" t="n">
        <v>45.98</v>
      </c>
      <c r="Z198" s="14" t="n">
        <v>1.73</v>
      </c>
      <c r="AA198" s="14" t="n">
        <v>0.11</v>
      </c>
      <c r="AB198" s="14" t="n">
        <v>0</v>
      </c>
      <c r="AC198" s="14" t="n">
        <v>0.09</v>
      </c>
      <c r="AD198" s="15" t="n">
        <f aca="false">H198*E198/1000</f>
        <v>0.1953</v>
      </c>
      <c r="AE198" s="15" t="n">
        <f aca="false">I198*E198/1000</f>
        <v>0</v>
      </c>
      <c r="AF198" s="16" t="n">
        <f aca="false">ROUND(S198+T198+U198+V198-W198,2)</f>
        <v>0</v>
      </c>
      <c r="AG198" s="16" t="n">
        <f aca="false">ROUND(X198-W198-Y198,2)</f>
        <v>0</v>
      </c>
    </row>
    <row r="199" customFormat="false" ht="15" hidden="false" customHeight="false" outlineLevel="0" collapsed="false">
      <c r="A199" s="13" t="s">
        <v>217</v>
      </c>
      <c r="B199" s="13" t="s">
        <v>277</v>
      </c>
      <c r="C199" s="13" t="s">
        <v>268</v>
      </c>
      <c r="D199" s="13" t="s">
        <v>257</v>
      </c>
      <c r="E199" s="14" t="n">
        <v>46.5</v>
      </c>
      <c r="F199" s="14" t="n">
        <v>8</v>
      </c>
      <c r="G199" s="14" t="n">
        <v>0.372</v>
      </c>
      <c r="H199" s="14" t="n">
        <v>7</v>
      </c>
      <c r="I199" s="14"/>
      <c r="J199" s="14" t="n">
        <v>67.23</v>
      </c>
      <c r="K199" s="14" t="n">
        <v>130.96</v>
      </c>
      <c r="L199" s="14" t="n">
        <v>2.5</v>
      </c>
      <c r="M199" s="14" t="n">
        <v>13.1</v>
      </c>
      <c r="N199" s="14" t="n">
        <v>5.5</v>
      </c>
      <c r="O199" s="14" t="n">
        <v>0.57</v>
      </c>
      <c r="P199" s="14" t="n">
        <v>1.5</v>
      </c>
      <c r="Q199" s="14"/>
      <c r="R199" s="14" t="n">
        <v>1.4</v>
      </c>
      <c r="S199" s="14" t="n">
        <v>155.53</v>
      </c>
      <c r="T199" s="14" t="n">
        <v>0.9</v>
      </c>
      <c r="U199" s="14" t="n">
        <v>10.65</v>
      </c>
      <c r="V199" s="14" t="n">
        <v>19.5</v>
      </c>
      <c r="W199" s="14" t="n">
        <v>186.57</v>
      </c>
      <c r="X199" s="14" t="n">
        <v>232.06</v>
      </c>
      <c r="Y199" s="14" t="n">
        <v>45.49</v>
      </c>
      <c r="Z199" s="14" t="n">
        <v>-0.15</v>
      </c>
      <c r="AA199" s="14" t="n">
        <v>0.17</v>
      </c>
      <c r="AB199" s="14" t="n">
        <v>0</v>
      </c>
      <c r="AC199" s="14" t="n">
        <v>0.15</v>
      </c>
      <c r="AD199" s="15" t="n">
        <f aca="false">H199*E199/1000</f>
        <v>0.3255</v>
      </c>
      <c r="AE199" s="15" t="n">
        <f aca="false">I199*E199/1000</f>
        <v>0</v>
      </c>
      <c r="AF199" s="16" t="n">
        <f aca="false">ROUND(S199+T199+U199+V199-W199,2)</f>
        <v>0.01</v>
      </c>
      <c r="AG199" s="16" t="n">
        <f aca="false">ROUND(X199-W199-Y199,2)</f>
        <v>0</v>
      </c>
    </row>
    <row r="200" customFormat="false" ht="15" hidden="false" customHeight="false" outlineLevel="0" collapsed="false">
      <c r="A200" s="13" t="s">
        <v>217</v>
      </c>
      <c r="B200" s="13" t="s">
        <v>277</v>
      </c>
      <c r="C200" s="13" t="s">
        <v>268</v>
      </c>
      <c r="D200" s="13" t="s">
        <v>258</v>
      </c>
      <c r="E200" s="14" t="n">
        <v>46.5</v>
      </c>
      <c r="F200" s="14" t="n">
        <v>16</v>
      </c>
      <c r="G200" s="14" t="n">
        <v>0.744</v>
      </c>
      <c r="H200" s="14" t="n">
        <v>16</v>
      </c>
      <c r="I200" s="14"/>
      <c r="J200" s="14" t="n">
        <v>67.23</v>
      </c>
      <c r="K200" s="14" t="n">
        <v>130.96</v>
      </c>
      <c r="L200" s="14" t="n">
        <v>2.5</v>
      </c>
      <c r="M200" s="14" t="n">
        <v>13.1</v>
      </c>
      <c r="N200" s="14" t="n">
        <v>5.5</v>
      </c>
      <c r="O200" s="14" t="n">
        <v>0.57</v>
      </c>
      <c r="P200" s="14" t="n">
        <v>1.5</v>
      </c>
      <c r="Q200" s="14"/>
      <c r="R200" s="14" t="n">
        <v>1.4</v>
      </c>
      <c r="S200" s="14" t="n">
        <v>155.53</v>
      </c>
      <c r="T200" s="14" t="n">
        <v>0.9</v>
      </c>
      <c r="U200" s="14" t="n">
        <v>10.65</v>
      </c>
      <c r="V200" s="14" t="n">
        <v>19.5</v>
      </c>
      <c r="W200" s="14" t="n">
        <v>186.57</v>
      </c>
      <c r="X200" s="14" t="n">
        <v>232.06</v>
      </c>
      <c r="Y200" s="14" t="n">
        <v>45.49</v>
      </c>
      <c r="Z200" s="14" t="n">
        <v>-0.39</v>
      </c>
      <c r="AA200" s="14" t="n">
        <v>0.39</v>
      </c>
      <c r="AB200" s="14" t="n">
        <v>0</v>
      </c>
      <c r="AC200" s="14" t="n">
        <v>0.34</v>
      </c>
      <c r="AD200" s="15" t="n">
        <f aca="false">H200*E200/1000</f>
        <v>0.744</v>
      </c>
      <c r="AE200" s="15" t="n">
        <f aca="false">I200*E200/1000</f>
        <v>0</v>
      </c>
      <c r="AF200" s="16" t="n">
        <f aca="false">ROUND(S200+T200+U200+V200-W200,2)</f>
        <v>0.01</v>
      </c>
      <c r="AG200" s="16" t="n">
        <f aca="false">ROUND(X200-W200-Y200,2)</f>
        <v>0</v>
      </c>
    </row>
    <row r="201" customFormat="false" ht="15" hidden="false" customHeight="false" outlineLevel="0" collapsed="false">
      <c r="A201" s="13" t="s">
        <v>217</v>
      </c>
      <c r="B201" s="13" t="s">
        <v>277</v>
      </c>
      <c r="C201" s="13" t="s">
        <v>269</v>
      </c>
      <c r="D201" s="13" t="s">
        <v>230</v>
      </c>
      <c r="E201" s="14" t="n">
        <v>34.5</v>
      </c>
      <c r="F201" s="14" t="n">
        <v>6</v>
      </c>
      <c r="G201" s="14" t="n">
        <v>0.21</v>
      </c>
      <c r="H201" s="14" t="n">
        <v>7</v>
      </c>
      <c r="I201" s="14"/>
      <c r="J201" s="14" t="n">
        <v>69.03</v>
      </c>
      <c r="K201" s="14" t="n">
        <v>129.63</v>
      </c>
      <c r="L201" s="14" t="n">
        <v>1.91</v>
      </c>
      <c r="M201" s="14" t="n">
        <v>13.71</v>
      </c>
      <c r="N201" s="14" t="n">
        <v>7</v>
      </c>
      <c r="O201" s="14" t="n">
        <v>0.54</v>
      </c>
      <c r="P201" s="14" t="n">
        <v>1.5</v>
      </c>
      <c r="Q201" s="14"/>
      <c r="R201" s="14" t="n">
        <v>1.4</v>
      </c>
      <c r="S201" s="14" t="n">
        <v>155.69</v>
      </c>
      <c r="T201" s="14" t="n">
        <v>0.9</v>
      </c>
      <c r="U201" s="14" t="n">
        <v>10.65</v>
      </c>
      <c r="V201" s="14" t="n">
        <v>19.24</v>
      </c>
      <c r="W201" s="14" t="n">
        <v>186.48</v>
      </c>
      <c r="X201" s="14" t="n">
        <v>234.93</v>
      </c>
      <c r="Y201" s="14" t="n">
        <v>48.45</v>
      </c>
      <c r="Z201" s="14" t="n">
        <v>-0.14</v>
      </c>
      <c r="AA201" s="14" t="n">
        <v>0.12</v>
      </c>
      <c r="AB201" s="14" t="n">
        <v>0</v>
      </c>
      <c r="AC201" s="14" t="n">
        <v>0.12</v>
      </c>
      <c r="AD201" s="15" t="n">
        <f aca="false">H201*E201/1000</f>
        <v>0.2415</v>
      </c>
      <c r="AE201" s="15" t="n">
        <f aca="false">I201*E201/1000</f>
        <v>0</v>
      </c>
      <c r="AF201" s="16" t="n">
        <f aca="false">ROUND(S201+T201+U201+V201-W201,2)</f>
        <v>0</v>
      </c>
      <c r="AG201" s="16" t="n">
        <f aca="false">ROUND(X201-W201-Y201,2)</f>
        <v>0</v>
      </c>
    </row>
    <row r="202" customFormat="false" ht="15" hidden="false" customHeight="false" outlineLevel="0" collapsed="false">
      <c r="A202" s="13" t="s">
        <v>217</v>
      </c>
      <c r="B202" s="13" t="s">
        <v>277</v>
      </c>
      <c r="C202" s="13" t="s">
        <v>269</v>
      </c>
      <c r="D202" s="13" t="s">
        <v>236</v>
      </c>
      <c r="E202" s="14" t="n">
        <v>31.66</v>
      </c>
      <c r="F202" s="14" t="n">
        <v>16</v>
      </c>
      <c r="G202" s="14" t="n">
        <v>0.51</v>
      </c>
      <c r="H202" s="14" t="n">
        <v>16</v>
      </c>
      <c r="I202" s="14" t="n">
        <v>1</v>
      </c>
      <c r="J202" s="14" t="n">
        <v>61.09</v>
      </c>
      <c r="K202" s="14" t="n">
        <v>130.55</v>
      </c>
      <c r="L202" s="14" t="n">
        <v>2.16</v>
      </c>
      <c r="M202" s="14" t="n">
        <v>15.79</v>
      </c>
      <c r="N202" s="14" t="n">
        <v>7</v>
      </c>
      <c r="O202" s="14" t="n">
        <v>0.54</v>
      </c>
      <c r="P202" s="14" t="n">
        <v>1.5</v>
      </c>
      <c r="Q202" s="14"/>
      <c r="R202" s="14" t="n">
        <v>1.1</v>
      </c>
      <c r="S202" s="14" t="n">
        <v>158.64</v>
      </c>
      <c r="T202" s="14" t="n">
        <v>0.9</v>
      </c>
      <c r="U202" s="14" t="n">
        <v>10.65</v>
      </c>
      <c r="V202" s="14" t="n">
        <v>20.48</v>
      </c>
      <c r="W202" s="14" t="n">
        <v>190.67</v>
      </c>
      <c r="X202" s="14" t="n">
        <v>234.93</v>
      </c>
      <c r="Y202" s="14" t="n">
        <v>44.26</v>
      </c>
      <c r="Z202" s="14" t="n">
        <v>-0.31</v>
      </c>
      <c r="AA202" s="14" t="n">
        <v>0.28</v>
      </c>
      <c r="AB202" s="14" t="n">
        <v>0.02</v>
      </c>
      <c r="AC202" s="14" t="n">
        <v>0.24</v>
      </c>
      <c r="AD202" s="15" t="n">
        <f aca="false">H202*E202/1000</f>
        <v>0.50656</v>
      </c>
      <c r="AE202" s="15" t="n">
        <f aca="false">I202*E202/1000</f>
        <v>0.03166</v>
      </c>
      <c r="AF202" s="16" t="n">
        <f aca="false">ROUND(S202+T202+U202+V202-W202,2)</f>
        <v>0</v>
      </c>
      <c r="AG202" s="16" t="n">
        <f aca="false">ROUND(X202-W202-Y202,2)</f>
        <v>0</v>
      </c>
    </row>
    <row r="203" customFormat="false" ht="15" hidden="false" customHeight="false" outlineLevel="0" collapsed="false">
      <c r="A203" s="13" t="s">
        <v>217</v>
      </c>
      <c r="B203" s="13" t="s">
        <v>277</v>
      </c>
      <c r="C203" s="13" t="s">
        <v>269</v>
      </c>
      <c r="D203" s="13" t="s">
        <v>286</v>
      </c>
      <c r="E203" s="14" t="n">
        <v>43.51</v>
      </c>
      <c r="F203" s="14" t="n">
        <v>12</v>
      </c>
      <c r="G203" s="14" t="n">
        <v>0.52</v>
      </c>
      <c r="H203" s="14" t="n">
        <v>8</v>
      </c>
      <c r="I203" s="14" t="n">
        <v>1</v>
      </c>
      <c r="J203" s="14" t="n">
        <v>67.42</v>
      </c>
      <c r="K203" s="14" t="n">
        <v>129.8</v>
      </c>
      <c r="L203" s="14" t="n">
        <v>1.96</v>
      </c>
      <c r="M203" s="14" t="n">
        <v>15.38</v>
      </c>
      <c r="N203" s="14" t="n">
        <v>7</v>
      </c>
      <c r="O203" s="14" t="n">
        <v>0.45</v>
      </c>
      <c r="P203" s="14" t="n">
        <v>1.5</v>
      </c>
      <c r="Q203" s="14"/>
      <c r="R203" s="14" t="n">
        <v>1.1</v>
      </c>
      <c r="S203" s="14" t="n">
        <v>157.19</v>
      </c>
      <c r="T203" s="14" t="n">
        <v>0.9</v>
      </c>
      <c r="U203" s="14" t="n">
        <v>10.65</v>
      </c>
      <c r="V203" s="14" t="n">
        <v>19.47</v>
      </c>
      <c r="W203" s="14" t="n">
        <v>188.21</v>
      </c>
      <c r="X203" s="14" t="n">
        <v>234.93</v>
      </c>
      <c r="Y203" s="14" t="n">
        <v>46.72</v>
      </c>
      <c r="Z203" s="14" t="n">
        <v>-0.15</v>
      </c>
      <c r="AA203" s="14" t="n">
        <v>0.18</v>
      </c>
      <c r="AB203" s="14" t="n">
        <v>0.03</v>
      </c>
      <c r="AC203" s="14" t="n">
        <v>0.18</v>
      </c>
      <c r="AD203" s="15" t="n">
        <f aca="false">H203*E203/1000</f>
        <v>0.34808</v>
      </c>
      <c r="AE203" s="15" t="n">
        <f aca="false">I203*E203/1000</f>
        <v>0.04351</v>
      </c>
      <c r="AF203" s="16" t="n">
        <f aca="false">ROUND(S203+T203+U203+V203-W203,2)</f>
        <v>0</v>
      </c>
      <c r="AG203" s="16" t="n">
        <f aca="false">ROUND(X203-W203-Y203,2)</f>
        <v>0</v>
      </c>
    </row>
    <row r="204" customFormat="false" ht="15" hidden="false" customHeight="false" outlineLevel="0" collapsed="false">
      <c r="A204" s="13" t="s">
        <v>217</v>
      </c>
      <c r="B204" s="13" t="s">
        <v>277</v>
      </c>
      <c r="C204" s="13" t="s">
        <v>269</v>
      </c>
      <c r="D204" s="13" t="s">
        <v>287</v>
      </c>
      <c r="E204" s="14" t="n">
        <v>48</v>
      </c>
      <c r="F204" s="14" t="n">
        <v>180</v>
      </c>
      <c r="G204" s="14" t="n">
        <v>8.64</v>
      </c>
      <c r="H204" s="14" t="n">
        <v>5</v>
      </c>
      <c r="I204" s="14" t="n">
        <v>4</v>
      </c>
      <c r="J204" s="14" t="n">
        <v>63.87</v>
      </c>
      <c r="K204" s="14" t="n">
        <v>130.2</v>
      </c>
      <c r="L204" s="14" t="n">
        <v>2.07</v>
      </c>
      <c r="M204" s="14" t="n">
        <v>18.64</v>
      </c>
      <c r="N204" s="14" t="n">
        <v>7</v>
      </c>
      <c r="O204" s="14" t="n">
        <v>0.45</v>
      </c>
      <c r="P204" s="14" t="n">
        <v>1.5</v>
      </c>
      <c r="Q204" s="14"/>
      <c r="R204" s="14" t="n">
        <v>1.1</v>
      </c>
      <c r="S204" s="14" t="n">
        <v>160.96</v>
      </c>
      <c r="T204" s="14" t="n">
        <v>0.9</v>
      </c>
      <c r="U204" s="14" t="n">
        <v>10.65</v>
      </c>
      <c r="V204" s="14" t="n">
        <v>20.01</v>
      </c>
      <c r="W204" s="14" t="n">
        <v>192.53</v>
      </c>
      <c r="X204" s="14" t="n">
        <v>234.93</v>
      </c>
      <c r="Y204" s="14" t="n">
        <v>42.4</v>
      </c>
      <c r="Z204" s="14" t="n">
        <v>3.22</v>
      </c>
      <c r="AA204" s="14" t="n">
        <v>0.14</v>
      </c>
      <c r="AB204" s="14" t="n">
        <v>0.13</v>
      </c>
      <c r="AC204" s="14" t="n">
        <v>0.18</v>
      </c>
      <c r="AD204" s="15" t="n">
        <f aca="false">H204*E204/1000</f>
        <v>0.24</v>
      </c>
      <c r="AE204" s="15" t="n">
        <f aca="false">I204*E204/1000</f>
        <v>0.192</v>
      </c>
      <c r="AF204" s="16" t="n">
        <f aca="false">ROUND(S204+T204+U204+V204-W204,2)</f>
        <v>-0.01</v>
      </c>
      <c r="AG204" s="16" t="n">
        <f aca="false">ROUND(X204-W204-Y204,2)</f>
        <v>0</v>
      </c>
    </row>
    <row r="205" customFormat="false" ht="15" hidden="false" customHeight="false" outlineLevel="0" collapsed="false">
      <c r="A205" s="13" t="s">
        <v>217</v>
      </c>
      <c r="B205" s="13" t="s">
        <v>277</v>
      </c>
      <c r="C205" s="13" t="s">
        <v>269</v>
      </c>
      <c r="D205" s="13" t="s">
        <v>289</v>
      </c>
      <c r="E205" s="14" t="n">
        <v>472</v>
      </c>
      <c r="F205" s="14" t="n">
        <v>10</v>
      </c>
      <c r="G205" s="14" t="n">
        <v>4.72</v>
      </c>
      <c r="H205" s="14"/>
      <c r="I205" s="14"/>
      <c r="J205" s="14" t="n">
        <v>73.14</v>
      </c>
      <c r="K205" s="14" t="n">
        <v>129.23</v>
      </c>
      <c r="L205" s="14" t="n">
        <v>1.8</v>
      </c>
      <c r="M205" s="14" t="n">
        <v>13.98</v>
      </c>
      <c r="N205" s="14" t="n">
        <v>7</v>
      </c>
      <c r="O205" s="14"/>
      <c r="P205" s="14" t="n">
        <v>1.5</v>
      </c>
      <c r="Q205" s="14"/>
      <c r="R205" s="14"/>
      <c r="S205" s="14" t="n">
        <v>153.52</v>
      </c>
      <c r="T205" s="14" t="n">
        <v>0.9</v>
      </c>
      <c r="U205" s="14" t="n">
        <v>10.65</v>
      </c>
      <c r="V205" s="14" t="n">
        <v>18.7</v>
      </c>
      <c r="W205" s="14" t="n">
        <v>183.77</v>
      </c>
      <c r="X205" s="14" t="n">
        <v>234.2</v>
      </c>
      <c r="Y205" s="14" t="n">
        <v>50.43</v>
      </c>
      <c r="Z205" s="14" t="n">
        <v>2.38</v>
      </c>
      <c r="AA205" s="14" t="n">
        <v>0</v>
      </c>
      <c r="AB205" s="14" t="n">
        <v>0</v>
      </c>
      <c r="AC205" s="14" t="n">
        <v>0</v>
      </c>
      <c r="AD205" s="15" t="n">
        <f aca="false">H205*E205/1000</f>
        <v>0</v>
      </c>
      <c r="AE205" s="15" t="n">
        <f aca="false">I205*E205/1000</f>
        <v>0</v>
      </c>
      <c r="AF205" s="16" t="n">
        <f aca="false">ROUND(S205+T205+U205+V205-W205,2)</f>
        <v>0</v>
      </c>
      <c r="AG205" s="16" t="n">
        <f aca="false">ROUND(X205-W205-Y205,2)</f>
        <v>0</v>
      </c>
    </row>
    <row r="206" customFormat="false" ht="15" hidden="false" customHeight="false" outlineLevel="0" collapsed="false">
      <c r="A206" s="13" t="s">
        <v>217</v>
      </c>
      <c r="B206" s="13" t="s">
        <v>277</v>
      </c>
      <c r="C206" s="13" t="s">
        <v>269</v>
      </c>
      <c r="D206" s="13" t="s">
        <v>237</v>
      </c>
      <c r="E206" s="14" t="n">
        <v>25</v>
      </c>
      <c r="F206" s="14" t="n">
        <v>114</v>
      </c>
      <c r="G206" s="14" t="n">
        <v>2.85</v>
      </c>
      <c r="H206" s="14" t="n">
        <v>10</v>
      </c>
      <c r="I206" s="14"/>
      <c r="J206" s="14" t="n">
        <v>58.82</v>
      </c>
      <c r="K206" s="14" t="n">
        <v>130.86</v>
      </c>
      <c r="L206" s="14" t="n">
        <v>2.24</v>
      </c>
      <c r="M206" s="14" t="n">
        <v>15.5</v>
      </c>
      <c r="N206" s="14" t="n">
        <v>7</v>
      </c>
      <c r="O206" s="14" t="n">
        <v>0.45</v>
      </c>
      <c r="P206" s="14" t="n">
        <v>1.5</v>
      </c>
      <c r="Q206" s="14"/>
      <c r="R206" s="14" t="n">
        <v>1.1</v>
      </c>
      <c r="S206" s="14" t="n">
        <v>158.66</v>
      </c>
      <c r="T206" s="14" t="n">
        <v>0.9</v>
      </c>
      <c r="U206" s="14" t="n">
        <v>10.65</v>
      </c>
      <c r="V206" s="14" t="n">
        <v>20.9</v>
      </c>
      <c r="W206" s="14" t="n">
        <v>191.11</v>
      </c>
      <c r="X206" s="14" t="n">
        <v>234.2</v>
      </c>
      <c r="Y206" s="14" t="n">
        <v>43.09</v>
      </c>
      <c r="Z206" s="14" t="n">
        <v>0.98</v>
      </c>
      <c r="AA206" s="14" t="n">
        <v>0.14</v>
      </c>
      <c r="AB206" s="14" t="n">
        <v>0</v>
      </c>
      <c r="AC206" s="14" t="n">
        <v>0.11</v>
      </c>
      <c r="AD206" s="15" t="n">
        <f aca="false">H206*E206/1000</f>
        <v>0.25</v>
      </c>
      <c r="AE206" s="15" t="n">
        <f aca="false">I206*E206/1000</f>
        <v>0</v>
      </c>
      <c r="AF206" s="16" t="n">
        <f aca="false">ROUND(S206+T206+U206+V206-W206,2)</f>
        <v>0</v>
      </c>
      <c r="AG206" s="16" t="n">
        <f aca="false">ROUND(X206-W206-Y206,2)</f>
        <v>0</v>
      </c>
    </row>
    <row r="207" customFormat="false" ht="15" hidden="false" customHeight="false" outlineLevel="0" collapsed="false">
      <c r="A207" s="13" t="s">
        <v>217</v>
      </c>
      <c r="B207" s="13" t="s">
        <v>277</v>
      </c>
      <c r="C207" s="13" t="s">
        <v>269</v>
      </c>
      <c r="D207" s="13" t="s">
        <v>238</v>
      </c>
      <c r="E207" s="14" t="n">
        <v>34</v>
      </c>
      <c r="F207" s="14" t="n">
        <v>52</v>
      </c>
      <c r="G207" s="14" t="n">
        <v>1.77</v>
      </c>
      <c r="H207" s="14" t="n">
        <v>3</v>
      </c>
      <c r="I207" s="14"/>
      <c r="J207" s="14" t="n">
        <v>66.4</v>
      </c>
      <c r="K207" s="14" t="n">
        <v>129.91</v>
      </c>
      <c r="L207" s="14" t="n">
        <v>1.99</v>
      </c>
      <c r="M207" s="14" t="n">
        <v>14.85</v>
      </c>
      <c r="N207" s="14" t="n">
        <v>7</v>
      </c>
      <c r="O207" s="14" t="n">
        <v>0.45</v>
      </c>
      <c r="P207" s="14" t="n">
        <v>1.5</v>
      </c>
      <c r="Q207" s="14"/>
      <c r="R207" s="14" t="n">
        <v>1.1</v>
      </c>
      <c r="S207" s="14" t="n">
        <v>156.8</v>
      </c>
      <c r="T207" s="14" t="n">
        <v>0.9</v>
      </c>
      <c r="U207" s="14" t="n">
        <v>10.65</v>
      </c>
      <c r="V207" s="14" t="n">
        <v>19.62</v>
      </c>
      <c r="W207" s="14" t="n">
        <v>187.96</v>
      </c>
      <c r="X207" s="14" t="n">
        <v>234.2</v>
      </c>
      <c r="Y207" s="14" t="n">
        <v>46.24</v>
      </c>
      <c r="Z207" s="14" t="n">
        <v>0.72</v>
      </c>
      <c r="AA207" s="14" t="n">
        <v>0.05</v>
      </c>
      <c r="AB207" s="14" t="n">
        <v>0</v>
      </c>
      <c r="AC207" s="14" t="n">
        <v>0.05</v>
      </c>
      <c r="AD207" s="15" t="n">
        <f aca="false">H207*E207/1000</f>
        <v>0.102</v>
      </c>
      <c r="AE207" s="15" t="n">
        <f aca="false">I207*E207/1000</f>
        <v>0</v>
      </c>
      <c r="AF207" s="16" t="n">
        <f aca="false">ROUND(S207+T207+U207+V207-W207,2)</f>
        <v>0.01</v>
      </c>
      <c r="AG207" s="16" t="n">
        <f aca="false">ROUND(X207-W207-Y207,2)</f>
        <v>0</v>
      </c>
    </row>
    <row r="208" customFormat="false" ht="15" hidden="false" customHeight="false" outlineLevel="0" collapsed="false">
      <c r="A208" s="13" t="s">
        <v>217</v>
      </c>
      <c r="B208" s="13" t="s">
        <v>277</v>
      </c>
      <c r="C208" s="13" t="s">
        <v>269</v>
      </c>
      <c r="D208" s="13" t="s">
        <v>288</v>
      </c>
      <c r="E208" s="14" t="n">
        <v>27.9</v>
      </c>
      <c r="F208" s="14" t="n">
        <v>12</v>
      </c>
      <c r="G208" s="14" t="n">
        <v>0.33</v>
      </c>
      <c r="H208" s="14" t="n">
        <v>8</v>
      </c>
      <c r="I208" s="14"/>
      <c r="J208" s="14" t="n">
        <v>65.65</v>
      </c>
      <c r="K208" s="14" t="n">
        <v>130</v>
      </c>
      <c r="L208" s="14" t="n">
        <v>2.01</v>
      </c>
      <c r="M208" s="14" t="n">
        <v>15.25</v>
      </c>
      <c r="N208" s="14" t="n">
        <v>7</v>
      </c>
      <c r="O208" s="14" t="n">
        <v>0.45</v>
      </c>
      <c r="P208" s="14" t="n">
        <v>1.5</v>
      </c>
      <c r="Q208" s="14"/>
      <c r="R208" s="14" t="n">
        <v>1.1</v>
      </c>
      <c r="S208" s="14" t="n">
        <v>157.3</v>
      </c>
      <c r="T208" s="14" t="n">
        <v>0.9</v>
      </c>
      <c r="U208" s="14" t="n">
        <v>10.65</v>
      </c>
      <c r="V208" s="14" t="n">
        <v>19.73</v>
      </c>
      <c r="W208" s="14" t="n">
        <v>188.58</v>
      </c>
      <c r="X208" s="14" t="n">
        <v>234.93</v>
      </c>
      <c r="Y208" s="14" t="n">
        <v>46.35</v>
      </c>
      <c r="Z208" s="14" t="n">
        <v>-0.07</v>
      </c>
      <c r="AA208" s="14" t="n">
        <v>0.12</v>
      </c>
      <c r="AB208" s="14" t="n">
        <v>0</v>
      </c>
      <c r="AC208" s="14" t="n">
        <v>0.1</v>
      </c>
      <c r="AD208" s="15" t="n">
        <f aca="false">H208*E208/1000</f>
        <v>0.2232</v>
      </c>
      <c r="AE208" s="15" t="n">
        <f aca="false">I208*E208/1000</f>
        <v>0</v>
      </c>
      <c r="AF208" s="16" t="n">
        <f aca="false">ROUND(S208+T208+U208+V208-W208,2)</f>
        <v>0</v>
      </c>
      <c r="AG208" s="16" t="n">
        <f aca="false">ROUND(X208-W208-Y208,2)</f>
        <v>0</v>
      </c>
    </row>
    <row r="209" customFormat="false" ht="15" hidden="false" customHeight="false" outlineLevel="0" collapsed="false">
      <c r="A209" s="13" t="s">
        <v>217</v>
      </c>
      <c r="B209" s="13" t="s">
        <v>277</v>
      </c>
      <c r="C209" s="13" t="s">
        <v>269</v>
      </c>
      <c r="D209" s="13" t="s">
        <v>272</v>
      </c>
      <c r="E209" s="14" t="n">
        <v>28.5</v>
      </c>
      <c r="F209" s="14" t="n">
        <v>24</v>
      </c>
      <c r="G209" s="14" t="n">
        <v>0.68</v>
      </c>
      <c r="H209" s="14" t="n">
        <v>2</v>
      </c>
      <c r="I209" s="14"/>
      <c r="J209" s="14" t="n">
        <v>67.06</v>
      </c>
      <c r="K209" s="14" t="n">
        <v>129.84</v>
      </c>
      <c r="L209" s="14" t="n">
        <v>1.97</v>
      </c>
      <c r="M209" s="14" t="n">
        <v>14.33</v>
      </c>
      <c r="N209" s="14" t="n">
        <v>7</v>
      </c>
      <c r="O209" s="14" t="n">
        <v>0.45</v>
      </c>
      <c r="P209" s="14" t="n">
        <v>1.5</v>
      </c>
      <c r="Q209" s="14"/>
      <c r="R209" s="14" t="n">
        <v>1.1</v>
      </c>
      <c r="S209" s="14" t="n">
        <v>156.19</v>
      </c>
      <c r="T209" s="14" t="n">
        <v>0.9</v>
      </c>
      <c r="U209" s="14" t="n">
        <v>10.65</v>
      </c>
      <c r="V209" s="14" t="n">
        <v>19.52</v>
      </c>
      <c r="W209" s="14" t="n">
        <v>187.26</v>
      </c>
      <c r="X209" s="14" t="n">
        <v>234.2</v>
      </c>
      <c r="Y209" s="14" t="n">
        <v>46.94</v>
      </c>
      <c r="Z209" s="14" t="n">
        <v>0.27</v>
      </c>
      <c r="AA209" s="14" t="n">
        <v>0.03</v>
      </c>
      <c r="AB209" s="14" t="n">
        <v>0</v>
      </c>
      <c r="AC209" s="14" t="n">
        <v>0.03</v>
      </c>
      <c r="AD209" s="15" t="n">
        <f aca="false">H209*E209/1000</f>
        <v>0.057</v>
      </c>
      <c r="AE209" s="15" t="n">
        <f aca="false">I209*E209/1000</f>
        <v>0</v>
      </c>
      <c r="AF209" s="16" t="n">
        <f aca="false">ROUND(S209+T209+U209+V209-W209,2)</f>
        <v>0</v>
      </c>
      <c r="AG209" s="16" t="n">
        <f aca="false">ROUND(X209-W209-Y209,2)</f>
        <v>0</v>
      </c>
    </row>
    <row r="210" customFormat="false" ht="15" hidden="false" customHeight="false" outlineLevel="0" collapsed="false">
      <c r="A210" s="13" t="s">
        <v>217</v>
      </c>
      <c r="B210" s="13" t="s">
        <v>277</v>
      </c>
      <c r="C210" s="13" t="s">
        <v>269</v>
      </c>
      <c r="D210" s="13" t="s">
        <v>273</v>
      </c>
      <c r="E210" s="14" t="n">
        <v>38</v>
      </c>
      <c r="F210" s="14" t="n">
        <v>32</v>
      </c>
      <c r="G210" s="14" t="n">
        <v>1.22</v>
      </c>
      <c r="H210" s="14" t="n">
        <v>5</v>
      </c>
      <c r="I210" s="14"/>
      <c r="J210" s="14" t="n">
        <v>70.96</v>
      </c>
      <c r="K210" s="14" t="n">
        <v>129.44</v>
      </c>
      <c r="L210" s="14" t="n">
        <v>1.86</v>
      </c>
      <c r="M210" s="14" t="n">
        <v>15.75</v>
      </c>
      <c r="N210" s="14" t="n">
        <v>7</v>
      </c>
      <c r="O210" s="14" t="n">
        <v>0.45</v>
      </c>
      <c r="P210" s="14" t="n">
        <v>1.5</v>
      </c>
      <c r="Q210" s="14"/>
      <c r="R210" s="14" t="n">
        <v>1.1</v>
      </c>
      <c r="S210" s="14" t="n">
        <v>157.09</v>
      </c>
      <c r="T210" s="14" t="n">
        <v>0.9</v>
      </c>
      <c r="U210" s="14" t="n">
        <v>10.65</v>
      </c>
      <c r="V210" s="14" t="n">
        <v>18.98</v>
      </c>
      <c r="W210" s="14" t="n">
        <v>187.62</v>
      </c>
      <c r="X210" s="14" t="n">
        <v>234.2</v>
      </c>
      <c r="Y210" s="14" t="n">
        <v>46.58</v>
      </c>
      <c r="Z210" s="14" t="n">
        <v>0.38</v>
      </c>
      <c r="AA210" s="14" t="n">
        <v>0.1</v>
      </c>
      <c r="AB210" s="14" t="n">
        <v>0</v>
      </c>
      <c r="AC210" s="14" t="n">
        <v>0.09</v>
      </c>
      <c r="AD210" s="15" t="n">
        <f aca="false">H210*E210/1000</f>
        <v>0.19</v>
      </c>
      <c r="AE210" s="15" t="n">
        <f aca="false">I210*E210/1000</f>
        <v>0</v>
      </c>
      <c r="AF210" s="16" t="n">
        <f aca="false">ROUND(S210+T210+U210+V210-W210,2)</f>
        <v>0</v>
      </c>
      <c r="AG210" s="16" t="n">
        <f aca="false">ROUND(X210-W210-Y210,2)</f>
        <v>0</v>
      </c>
    </row>
    <row r="211" customFormat="false" ht="15" hidden="false" customHeight="false" outlineLevel="0" collapsed="false">
      <c r="A211" s="13" t="s">
        <v>217</v>
      </c>
      <c r="B211" s="13" t="s">
        <v>277</v>
      </c>
      <c r="C211" s="13" t="s">
        <v>235</v>
      </c>
      <c r="D211" s="13" t="s">
        <v>289</v>
      </c>
      <c r="E211" s="14" t="n">
        <v>472</v>
      </c>
      <c r="F211" s="14" t="n">
        <v>128</v>
      </c>
      <c r="G211" s="14" t="n">
        <v>60.416</v>
      </c>
      <c r="H211" s="14" t="n">
        <v>1</v>
      </c>
      <c r="I211" s="14" t="n">
        <v>2</v>
      </c>
      <c r="J211" s="14" t="n">
        <v>73.14</v>
      </c>
      <c r="K211" s="14" t="n">
        <v>125.51</v>
      </c>
      <c r="L211" s="14" t="n">
        <v>1.8</v>
      </c>
      <c r="M211" s="14" t="n">
        <v>12.89</v>
      </c>
      <c r="N211" s="14" t="n">
        <v>8</v>
      </c>
      <c r="O211" s="14"/>
      <c r="P211" s="14" t="n">
        <v>1.5</v>
      </c>
      <c r="Q211" s="14"/>
      <c r="R211" s="14" t="n">
        <v>0.52</v>
      </c>
      <c r="S211" s="14" t="n">
        <v>150.22</v>
      </c>
      <c r="T211" s="14" t="n">
        <v>0.9</v>
      </c>
      <c r="U211" s="14" t="n">
        <v>10.65</v>
      </c>
      <c r="V211" s="14" t="n">
        <v>18.7</v>
      </c>
      <c r="W211" s="14" t="n">
        <v>180.47</v>
      </c>
      <c r="X211" s="14" t="n">
        <v>235.12</v>
      </c>
      <c r="Y211" s="14" t="n">
        <v>54.65</v>
      </c>
      <c r="Z211" s="14" t="n">
        <v>31.44</v>
      </c>
      <c r="AA211" s="14" t="n">
        <v>0.23</v>
      </c>
      <c r="AB211" s="14" t="n">
        <v>0.57</v>
      </c>
      <c r="AC211" s="14" t="n">
        <v>0.77</v>
      </c>
      <c r="AD211" s="15" t="n">
        <f aca="false">H211*E211/1000</f>
        <v>0.472</v>
      </c>
      <c r="AE211" s="15" t="n">
        <f aca="false">I211*E211/1000</f>
        <v>0.944</v>
      </c>
      <c r="AF211" s="16" t="n">
        <f aca="false">ROUND(S211+T211+U211+V211-W211,2)</f>
        <v>0</v>
      </c>
      <c r="AG211" s="16" t="n">
        <f aca="false">ROUND(X211-W211-Y211,2)</f>
        <v>0</v>
      </c>
    </row>
    <row r="212" customFormat="false" ht="15" hidden="false" customHeight="false" outlineLevel="0" collapsed="false">
      <c r="A212" s="13" t="s">
        <v>217</v>
      </c>
      <c r="B212" s="13" t="s">
        <v>277</v>
      </c>
      <c r="C212" s="13" t="s">
        <v>235</v>
      </c>
      <c r="D212" s="13" t="s">
        <v>251</v>
      </c>
      <c r="E212" s="14" t="n">
        <v>63</v>
      </c>
      <c r="F212" s="14" t="n">
        <v>45</v>
      </c>
      <c r="G212" s="14" t="n">
        <v>2.835</v>
      </c>
      <c r="H212" s="14" t="n">
        <v>4</v>
      </c>
      <c r="I212" s="14"/>
      <c r="J212" s="14" t="n">
        <v>66.67</v>
      </c>
      <c r="K212" s="14" t="n">
        <v>126.14</v>
      </c>
      <c r="L212" s="14" t="n">
        <v>1.98</v>
      </c>
      <c r="M212" s="14" t="n">
        <v>12.19</v>
      </c>
      <c r="N212" s="14" t="n">
        <v>8</v>
      </c>
      <c r="O212" s="14" t="n">
        <v>0.56</v>
      </c>
      <c r="P212" s="14" t="n">
        <v>1.5</v>
      </c>
      <c r="Q212" s="14"/>
      <c r="R212" s="14" t="n">
        <v>1.4</v>
      </c>
      <c r="S212" s="14" t="n">
        <v>151.77</v>
      </c>
      <c r="T212" s="14" t="n">
        <v>0.9</v>
      </c>
      <c r="U212" s="14" t="n">
        <v>10.65</v>
      </c>
      <c r="V212" s="14" t="n">
        <v>19.58</v>
      </c>
      <c r="W212" s="14" t="n">
        <v>182.9</v>
      </c>
      <c r="X212" s="14" t="n">
        <v>235</v>
      </c>
      <c r="Y212" s="14" t="n">
        <v>52.1</v>
      </c>
      <c r="Z212" s="14" t="n">
        <v>1.22</v>
      </c>
      <c r="AA212" s="14" t="n">
        <v>0.13</v>
      </c>
      <c r="AB212" s="14" t="n">
        <v>0</v>
      </c>
      <c r="AC212" s="14" t="n">
        <v>0.13</v>
      </c>
      <c r="AD212" s="15" t="n">
        <f aca="false">H212*E212/1000</f>
        <v>0.252</v>
      </c>
      <c r="AE212" s="15" t="n">
        <f aca="false">I212*E212/1000</f>
        <v>0</v>
      </c>
      <c r="AF212" s="16" t="n">
        <f aca="false">ROUND(S212+T212+U212+V212-W212,2)</f>
        <v>0</v>
      </c>
      <c r="AG212" s="16" t="n">
        <f aca="false">ROUND(X212-W212-Y212,2)</f>
        <v>0</v>
      </c>
    </row>
    <row r="213" customFormat="false" ht="15" hidden="false" customHeight="false" outlineLevel="0" collapsed="false">
      <c r="A213" s="13" t="s">
        <v>217</v>
      </c>
      <c r="B213" s="13" t="s">
        <v>277</v>
      </c>
      <c r="C213" s="13" t="s">
        <v>235</v>
      </c>
      <c r="D213" s="13" t="s">
        <v>252</v>
      </c>
      <c r="E213" s="14" t="n">
        <v>47</v>
      </c>
      <c r="F213" s="14" t="n">
        <v>48</v>
      </c>
      <c r="G213" s="14" t="n">
        <v>2.256</v>
      </c>
      <c r="H213" s="14" t="n">
        <v>2</v>
      </c>
      <c r="I213" s="14"/>
      <c r="J213" s="14" t="n">
        <v>68.2</v>
      </c>
      <c r="K213" s="14" t="n">
        <v>125.98</v>
      </c>
      <c r="L213" s="14" t="n">
        <v>1.94</v>
      </c>
      <c r="M213" s="14" t="n">
        <v>11.36</v>
      </c>
      <c r="N213" s="14" t="n">
        <v>8</v>
      </c>
      <c r="O213" s="14" t="n">
        <v>0.56</v>
      </c>
      <c r="P213" s="14" t="n">
        <v>1.5</v>
      </c>
      <c r="Q213" s="14"/>
      <c r="R213" s="14" t="n">
        <v>1.4</v>
      </c>
      <c r="S213" s="14" t="n">
        <v>150.73</v>
      </c>
      <c r="T213" s="14" t="n">
        <v>0.9</v>
      </c>
      <c r="U213" s="14" t="n">
        <v>10.65</v>
      </c>
      <c r="V213" s="14" t="n">
        <v>19.36</v>
      </c>
      <c r="W213" s="14" t="n">
        <v>181.64</v>
      </c>
      <c r="X213" s="14" t="n">
        <v>235</v>
      </c>
      <c r="Y213" s="14" t="n">
        <v>53.36</v>
      </c>
      <c r="Z213" s="14" t="n">
        <v>1.11</v>
      </c>
      <c r="AA213" s="14" t="n">
        <v>0.05</v>
      </c>
      <c r="AB213" s="14" t="n">
        <v>0</v>
      </c>
      <c r="AC213" s="14" t="n">
        <v>0.05</v>
      </c>
      <c r="AD213" s="15" t="n">
        <f aca="false">H213*E213/1000</f>
        <v>0.094</v>
      </c>
      <c r="AE213" s="15" t="n">
        <f aca="false">I213*E213/1000</f>
        <v>0</v>
      </c>
      <c r="AF213" s="16" t="n">
        <f aca="false">ROUND(S213+T213+U213+V213-W213,2)</f>
        <v>0</v>
      </c>
      <c r="AG213" s="16" t="n">
        <f aca="false">ROUND(X213-W213-Y213,2)</f>
        <v>0</v>
      </c>
    </row>
    <row r="214" customFormat="false" ht="15" hidden="false" customHeight="false" outlineLevel="0" collapsed="false">
      <c r="A214" s="13" t="s">
        <v>217</v>
      </c>
      <c r="B214" s="13" t="s">
        <v>277</v>
      </c>
      <c r="C214" s="13" t="s">
        <v>235</v>
      </c>
      <c r="D214" s="13" t="s">
        <v>290</v>
      </c>
      <c r="E214" s="14" t="n">
        <v>30.7</v>
      </c>
      <c r="F214" s="14" t="n">
        <v>580</v>
      </c>
      <c r="G214" s="14" t="n">
        <v>17.806</v>
      </c>
      <c r="H214" s="14" t="n">
        <v>15</v>
      </c>
      <c r="I214" s="14" t="n">
        <v>2</v>
      </c>
      <c r="J214" s="14" t="n">
        <v>68.18</v>
      </c>
      <c r="K214" s="14" t="n">
        <v>125.98</v>
      </c>
      <c r="L214" s="14" t="n">
        <v>1.94</v>
      </c>
      <c r="M214" s="14" t="n">
        <v>15.84</v>
      </c>
      <c r="N214" s="14" t="n">
        <v>8</v>
      </c>
      <c r="O214" s="14" t="n">
        <v>0.56</v>
      </c>
      <c r="P214" s="14" t="n">
        <v>1.5</v>
      </c>
      <c r="Q214" s="14"/>
      <c r="R214" s="14" t="n">
        <v>1.15</v>
      </c>
      <c r="S214" s="14" t="n">
        <v>154.96</v>
      </c>
      <c r="T214" s="14" t="n">
        <v>0.9</v>
      </c>
      <c r="U214" s="14" t="n">
        <v>10.65</v>
      </c>
      <c r="V214" s="14" t="n">
        <v>19.36</v>
      </c>
      <c r="W214" s="14" t="n">
        <v>185.87</v>
      </c>
      <c r="X214" s="14" t="n">
        <v>235</v>
      </c>
      <c r="Y214" s="14" t="n">
        <v>49.13</v>
      </c>
      <c r="Z214" s="14" t="n">
        <v>8.21</v>
      </c>
      <c r="AA214" s="14" t="n">
        <v>0.25</v>
      </c>
      <c r="AB214" s="14" t="n">
        <v>0.04</v>
      </c>
      <c r="AC214" s="14" t="n">
        <v>0.26</v>
      </c>
      <c r="AD214" s="15" t="n">
        <f aca="false">H214*E214/1000</f>
        <v>0.4605</v>
      </c>
      <c r="AE214" s="15" t="n">
        <f aca="false">I214*E214/1000</f>
        <v>0.0614</v>
      </c>
      <c r="AF214" s="16" t="n">
        <f aca="false">ROUND(S214+T214+U214+V214-W214,2)</f>
        <v>0</v>
      </c>
      <c r="AG214" s="16" t="n">
        <f aca="false">ROUND(X214-W214-Y214,2)</f>
        <v>0</v>
      </c>
    </row>
    <row r="215" customFormat="false" ht="15" hidden="false" customHeight="false" outlineLevel="0" collapsed="false">
      <c r="A215" s="13" t="s">
        <v>217</v>
      </c>
      <c r="B215" s="13" t="s">
        <v>277</v>
      </c>
      <c r="C215" s="13" t="s">
        <v>240</v>
      </c>
      <c r="D215" s="13" t="s">
        <v>220</v>
      </c>
      <c r="E215" s="14" t="n">
        <v>18.75</v>
      </c>
      <c r="F215" s="14" t="n">
        <v>8</v>
      </c>
      <c r="G215" s="14" t="n">
        <v>0.15</v>
      </c>
      <c r="H215" s="14"/>
      <c r="I215" s="14"/>
      <c r="J215" s="14" t="n">
        <v>59.61</v>
      </c>
      <c r="K215" s="14" t="n">
        <v>123.17</v>
      </c>
      <c r="L215" s="14" t="n">
        <v>2.32</v>
      </c>
      <c r="M215" s="14" t="n">
        <v>16.54</v>
      </c>
      <c r="N215" s="14" t="n">
        <v>7</v>
      </c>
      <c r="O215" s="14" t="n">
        <v>0.45</v>
      </c>
      <c r="P215" s="14" t="n">
        <v>1.5</v>
      </c>
      <c r="Q215" s="14"/>
      <c r="R215" s="14" t="n">
        <v>1.4</v>
      </c>
      <c r="S215" s="14" t="n">
        <v>152.37</v>
      </c>
      <c r="T215" s="14" t="n">
        <v>0.9</v>
      </c>
      <c r="U215" s="14" t="n">
        <v>10.65</v>
      </c>
      <c r="V215" s="14" t="n">
        <v>20.75</v>
      </c>
      <c r="W215" s="14" t="n">
        <v>184.67</v>
      </c>
      <c r="X215" s="14" t="n">
        <v>239.25</v>
      </c>
      <c r="Y215" s="14" t="n">
        <v>54.58</v>
      </c>
      <c r="Z215" s="14" t="n">
        <v>0.08</v>
      </c>
      <c r="AA215" s="14" t="n">
        <v>0</v>
      </c>
      <c r="AB215" s="14" t="n">
        <v>0</v>
      </c>
      <c r="AC215" s="14" t="n">
        <v>0</v>
      </c>
      <c r="AD215" s="15" t="n">
        <f aca="false">H215*E215/1000</f>
        <v>0</v>
      </c>
      <c r="AE215" s="15" t="n">
        <f aca="false">I215*E215/1000</f>
        <v>0</v>
      </c>
      <c r="AF215" s="16" t="n">
        <f aca="false">ROUND(S215+T215+U215+V215-W215,2)</f>
        <v>0</v>
      </c>
      <c r="AG215" s="16" t="n">
        <f aca="false">ROUND(X215-W215-Y215,2)</f>
        <v>0</v>
      </c>
    </row>
    <row r="216" customFormat="false" ht="15" hidden="false" customHeight="false" outlineLevel="0" collapsed="false">
      <c r="A216" s="13" t="s">
        <v>217</v>
      </c>
      <c r="B216" s="13" t="s">
        <v>277</v>
      </c>
      <c r="C216" s="13" t="s">
        <v>240</v>
      </c>
      <c r="D216" s="13" t="s">
        <v>221</v>
      </c>
      <c r="E216" s="14" t="n">
        <v>25</v>
      </c>
      <c r="F216" s="14" t="n">
        <v>120</v>
      </c>
      <c r="G216" s="14" t="n">
        <v>3</v>
      </c>
      <c r="H216" s="14" t="n">
        <v>5</v>
      </c>
      <c r="I216" s="14"/>
      <c r="J216" s="14" t="n">
        <v>63.85</v>
      </c>
      <c r="K216" s="14" t="n">
        <v>122.65</v>
      </c>
      <c r="L216" s="14" t="n">
        <v>2.16</v>
      </c>
      <c r="M216" s="14" t="n">
        <v>14.13</v>
      </c>
      <c r="N216" s="14" t="n">
        <v>7</v>
      </c>
      <c r="O216" s="14" t="n">
        <v>0.45</v>
      </c>
      <c r="P216" s="14" t="n">
        <v>1.5</v>
      </c>
      <c r="Q216" s="14"/>
      <c r="R216" s="14" t="n">
        <v>1.4</v>
      </c>
      <c r="S216" s="14" t="n">
        <v>149.3</v>
      </c>
      <c r="T216" s="14" t="n">
        <v>0.9</v>
      </c>
      <c r="U216" s="14" t="n">
        <v>10.65</v>
      </c>
      <c r="V216" s="14" t="n">
        <v>20.02</v>
      </c>
      <c r="W216" s="14" t="n">
        <v>180.86</v>
      </c>
      <c r="X216" s="14" t="n">
        <v>239.25</v>
      </c>
      <c r="Y216" s="14" t="n">
        <v>58.39</v>
      </c>
      <c r="Z216" s="14" t="n">
        <v>1.61</v>
      </c>
      <c r="AA216" s="14" t="n">
        <v>0.07</v>
      </c>
      <c r="AB216" s="14" t="n">
        <v>0</v>
      </c>
      <c r="AC216" s="14" t="n">
        <v>0.07</v>
      </c>
      <c r="AD216" s="15" t="n">
        <f aca="false">H216*E216/1000</f>
        <v>0.125</v>
      </c>
      <c r="AE216" s="15" t="n">
        <f aca="false">I216*E216/1000</f>
        <v>0</v>
      </c>
      <c r="AF216" s="16" t="n">
        <f aca="false">ROUND(S216+T216+U216+V216-W216,2)</f>
        <v>0.01</v>
      </c>
      <c r="AG216" s="16" t="n">
        <f aca="false">ROUND(X216-W216-Y216,2)</f>
        <v>0</v>
      </c>
    </row>
    <row r="217" customFormat="false" ht="15" hidden="false" customHeight="false" outlineLevel="0" collapsed="false">
      <c r="A217" s="13" t="s">
        <v>217</v>
      </c>
      <c r="B217" s="13" t="s">
        <v>277</v>
      </c>
      <c r="C217" s="13" t="s">
        <v>240</v>
      </c>
      <c r="D217" s="13" t="s">
        <v>236</v>
      </c>
      <c r="E217" s="14" t="n">
        <v>31.66</v>
      </c>
      <c r="F217" s="14" t="n">
        <v>112</v>
      </c>
      <c r="G217" s="14" t="n">
        <v>3.55</v>
      </c>
      <c r="H217" s="14"/>
      <c r="I217" s="14"/>
      <c r="J217" s="14" t="n">
        <v>61.09</v>
      </c>
      <c r="K217" s="14" t="n">
        <v>122.98</v>
      </c>
      <c r="L217" s="14" t="n">
        <v>2.26</v>
      </c>
      <c r="M217" s="14" t="n">
        <v>11.15</v>
      </c>
      <c r="N217" s="14" t="n">
        <v>7</v>
      </c>
      <c r="O217" s="14" t="n">
        <v>0.54</v>
      </c>
      <c r="P217" s="14" t="n">
        <v>1.5</v>
      </c>
      <c r="Q217" s="14"/>
      <c r="R217" s="14" t="n">
        <v>1.1</v>
      </c>
      <c r="S217" s="14" t="n">
        <v>146.52</v>
      </c>
      <c r="T217" s="14" t="n">
        <v>0.9</v>
      </c>
      <c r="U217" s="14" t="n">
        <v>10.65</v>
      </c>
      <c r="V217" s="14" t="n">
        <v>20.48</v>
      </c>
      <c r="W217" s="14" t="n">
        <v>178.56</v>
      </c>
      <c r="X217" s="14" t="n">
        <v>235.13</v>
      </c>
      <c r="Y217" s="14" t="n">
        <v>56.57</v>
      </c>
      <c r="Z217" s="14" t="n">
        <v>2.01</v>
      </c>
      <c r="AA217" s="14" t="n">
        <v>0</v>
      </c>
      <c r="AB217" s="14" t="n">
        <v>0</v>
      </c>
      <c r="AC217" s="14" t="n">
        <v>0</v>
      </c>
      <c r="AD217" s="15" t="n">
        <f aca="false">H217*E217/1000</f>
        <v>0</v>
      </c>
      <c r="AE217" s="15" t="n">
        <f aca="false">I217*E217/1000</f>
        <v>0</v>
      </c>
      <c r="AF217" s="16" t="n">
        <f aca="false">ROUND(S217+T217+U217+V217-W217,2)</f>
        <v>-0.01</v>
      </c>
      <c r="AG217" s="16" t="n">
        <f aca="false">ROUND(X217-W217-Y217,2)</f>
        <v>0</v>
      </c>
    </row>
    <row r="218" customFormat="false" ht="15" hidden="false" customHeight="false" outlineLevel="0" collapsed="false">
      <c r="A218" s="13" t="s">
        <v>217</v>
      </c>
      <c r="B218" s="13" t="s">
        <v>277</v>
      </c>
      <c r="C218" s="13" t="s">
        <v>240</v>
      </c>
      <c r="D218" s="13" t="s">
        <v>223</v>
      </c>
      <c r="E218" s="14" t="n">
        <v>29.7</v>
      </c>
      <c r="F218" s="14" t="n">
        <v>48</v>
      </c>
      <c r="G218" s="14" t="n">
        <v>1.4256</v>
      </c>
      <c r="H218" s="14" t="n">
        <v>9</v>
      </c>
      <c r="I218" s="14" t="n">
        <v>1</v>
      </c>
      <c r="J218" s="14" t="n">
        <v>60.87</v>
      </c>
      <c r="K218" s="14" t="n">
        <v>123</v>
      </c>
      <c r="L218" s="14" t="n">
        <v>2.27</v>
      </c>
      <c r="M218" s="14" t="n">
        <v>12.88</v>
      </c>
      <c r="N218" s="14" t="n">
        <v>7</v>
      </c>
      <c r="O218" s="14" t="n">
        <v>0.45</v>
      </c>
      <c r="P218" s="14" t="n">
        <v>1.5</v>
      </c>
      <c r="Q218" s="14"/>
      <c r="R218" s="14" t="n">
        <v>1.4</v>
      </c>
      <c r="S218" s="14" t="n">
        <v>148.5</v>
      </c>
      <c r="T218" s="14" t="n">
        <v>0.9</v>
      </c>
      <c r="U218" s="14" t="n">
        <v>10.65</v>
      </c>
      <c r="V218" s="14" t="n">
        <v>20.52</v>
      </c>
      <c r="W218" s="14" t="n">
        <v>180.57</v>
      </c>
      <c r="X218" s="14" t="n">
        <v>239.25</v>
      </c>
      <c r="Y218" s="14" t="n">
        <v>58.68</v>
      </c>
      <c r="Z218" s="14" t="n">
        <v>0.51</v>
      </c>
      <c r="AA218" s="14" t="n">
        <v>0.14</v>
      </c>
      <c r="AB218" s="14" t="n">
        <v>0.02</v>
      </c>
      <c r="AC218" s="14" t="n">
        <v>0.17</v>
      </c>
      <c r="AD218" s="15" t="n">
        <f aca="false">H218*E218/1000</f>
        <v>0.2673</v>
      </c>
      <c r="AE218" s="15" t="n">
        <f aca="false">I218*E218/1000</f>
        <v>0.0297</v>
      </c>
      <c r="AF218" s="16" t="n">
        <f aca="false">ROUND(S218+T218+U218+V218-W218,2)</f>
        <v>0</v>
      </c>
      <c r="AG218" s="16" t="n">
        <f aca="false">ROUND(X218-W218-Y218,2)</f>
        <v>0</v>
      </c>
    </row>
    <row r="219" customFormat="false" ht="15" hidden="false" customHeight="false" outlineLevel="0" collapsed="false">
      <c r="A219" s="13" t="s">
        <v>217</v>
      </c>
      <c r="B219" s="13" t="s">
        <v>277</v>
      </c>
      <c r="C219" s="13" t="s">
        <v>240</v>
      </c>
      <c r="D219" s="13" t="s">
        <v>222</v>
      </c>
      <c r="E219" s="14" t="n">
        <v>20.7</v>
      </c>
      <c r="F219" s="14" t="n">
        <v>62</v>
      </c>
      <c r="G219" s="14" t="n">
        <v>1.2834</v>
      </c>
      <c r="H219" s="14" t="n">
        <v>6</v>
      </c>
      <c r="I219" s="14"/>
      <c r="J219" s="14" t="n">
        <v>59.04</v>
      </c>
      <c r="K219" s="14" t="n">
        <v>123.24</v>
      </c>
      <c r="L219" s="14" t="n">
        <v>2.34</v>
      </c>
      <c r="M219" s="14" t="n">
        <v>13.83</v>
      </c>
      <c r="N219" s="14" t="n">
        <v>7</v>
      </c>
      <c r="O219" s="14" t="n">
        <v>0.45</v>
      </c>
      <c r="P219" s="14" t="n">
        <v>1.5</v>
      </c>
      <c r="Q219" s="14"/>
      <c r="R219" s="14" t="n">
        <v>1.4</v>
      </c>
      <c r="S219" s="14" t="n">
        <v>149.76</v>
      </c>
      <c r="T219" s="14" t="n">
        <v>0.9</v>
      </c>
      <c r="U219" s="14" t="n">
        <v>10.65</v>
      </c>
      <c r="V219" s="14" t="n">
        <v>20.86</v>
      </c>
      <c r="W219" s="14" t="n">
        <v>182.17</v>
      </c>
      <c r="X219" s="14" t="n">
        <v>239.25</v>
      </c>
      <c r="Y219" s="14" t="n">
        <v>57.08</v>
      </c>
      <c r="Z219" s="14" t="n">
        <v>0.6</v>
      </c>
      <c r="AA219" s="14" t="n">
        <v>0.07</v>
      </c>
      <c r="AB219" s="14" t="n">
        <v>0</v>
      </c>
      <c r="AC219" s="14" t="n">
        <v>0.07</v>
      </c>
      <c r="AD219" s="15" t="n">
        <f aca="false">H219*E219/1000</f>
        <v>0.1242</v>
      </c>
      <c r="AE219" s="15" t="n">
        <f aca="false">I219*E219/1000</f>
        <v>0</v>
      </c>
      <c r="AF219" s="16" t="n">
        <f aca="false">ROUND(S219+T219+U219+V219-W219,2)</f>
        <v>0</v>
      </c>
      <c r="AG219" s="16" t="n">
        <f aca="false">ROUND(X219-W219-Y219,2)</f>
        <v>0</v>
      </c>
    </row>
    <row r="220" customFormat="false" ht="15" hidden="false" customHeight="false" outlineLevel="0" collapsed="false">
      <c r="A220" s="13" t="s">
        <v>217</v>
      </c>
      <c r="B220" s="13" t="s">
        <v>277</v>
      </c>
      <c r="C220" s="13" t="s">
        <v>240</v>
      </c>
      <c r="D220" s="13" t="s">
        <v>289</v>
      </c>
      <c r="E220" s="14" t="n">
        <v>472</v>
      </c>
      <c r="F220" s="14" t="n">
        <v>55</v>
      </c>
      <c r="G220" s="14" t="n">
        <v>25.96</v>
      </c>
      <c r="H220" s="14" t="n">
        <v>0</v>
      </c>
      <c r="I220" s="14" t="n">
        <v>4</v>
      </c>
      <c r="J220" s="14" t="n">
        <v>73.14</v>
      </c>
      <c r="K220" s="14" t="n">
        <v>121.73</v>
      </c>
      <c r="L220" s="14" t="n">
        <v>1.89</v>
      </c>
      <c r="M220" s="14" t="n">
        <v>8.95</v>
      </c>
      <c r="N220" s="14" t="n">
        <v>7</v>
      </c>
      <c r="O220" s="14"/>
      <c r="P220" s="14" t="n">
        <v>1.5</v>
      </c>
      <c r="Q220" s="14"/>
      <c r="R220" s="14" t="n">
        <v>0.52</v>
      </c>
      <c r="S220" s="14" t="n">
        <v>141.59</v>
      </c>
      <c r="T220" s="14" t="n">
        <v>0.9</v>
      </c>
      <c r="U220" s="14" t="n">
        <v>10.65</v>
      </c>
      <c r="V220" s="14" t="n">
        <v>18.7</v>
      </c>
      <c r="W220" s="14" t="n">
        <v>171.84</v>
      </c>
      <c r="X220" s="14" t="n">
        <v>235.12</v>
      </c>
      <c r="Y220" s="14" t="n">
        <v>63.28</v>
      </c>
      <c r="Z220" s="14" t="n">
        <v>14.19</v>
      </c>
      <c r="AA220" s="14" t="n">
        <v>0</v>
      </c>
      <c r="AB220" s="14" t="n">
        <v>1.04</v>
      </c>
      <c r="AC220" s="14" t="n">
        <v>1.19</v>
      </c>
      <c r="AD220" s="15" t="n">
        <f aca="false">H220*E220/1000</f>
        <v>0</v>
      </c>
      <c r="AE220" s="15" t="n">
        <f aca="false">I220*E220/1000</f>
        <v>1.888</v>
      </c>
      <c r="AF220" s="16" t="n">
        <f aca="false">ROUND(S220+T220+U220+V220-W220,2)</f>
        <v>0</v>
      </c>
      <c r="AG220" s="16" t="n">
        <f aca="false">ROUND(X220-W220-Y220,2)</f>
        <v>0</v>
      </c>
    </row>
    <row r="221" customFormat="false" ht="15" hidden="false" customHeight="false" outlineLevel="0" collapsed="false">
      <c r="A221" s="13" t="s">
        <v>217</v>
      </c>
      <c r="B221" s="13" t="s">
        <v>277</v>
      </c>
      <c r="C221" s="13" t="s">
        <v>240</v>
      </c>
      <c r="D221" s="13" t="s">
        <v>228</v>
      </c>
      <c r="E221" s="14" t="n">
        <v>28</v>
      </c>
      <c r="F221" s="14" t="n">
        <v>1</v>
      </c>
      <c r="G221" s="14" t="n">
        <v>0.028</v>
      </c>
      <c r="H221" s="14"/>
      <c r="I221" s="14"/>
      <c r="J221" s="14" t="n">
        <v>68</v>
      </c>
      <c r="K221" s="14" t="n">
        <v>122.21</v>
      </c>
      <c r="L221" s="14" t="n">
        <v>2.03</v>
      </c>
      <c r="M221" s="14" t="n">
        <v>23.45</v>
      </c>
      <c r="N221" s="14" t="n">
        <v>7</v>
      </c>
      <c r="O221" s="14" t="n">
        <v>0.45</v>
      </c>
      <c r="P221" s="14" t="n">
        <v>1.5</v>
      </c>
      <c r="Q221" s="14"/>
      <c r="R221" s="14" t="n">
        <v>1.4</v>
      </c>
      <c r="S221" s="14" t="n">
        <v>158.04</v>
      </c>
      <c r="T221" s="14" t="n">
        <v>0.9</v>
      </c>
      <c r="U221" s="14" t="n">
        <v>10.65</v>
      </c>
      <c r="V221" s="14" t="n">
        <v>19.38</v>
      </c>
      <c r="W221" s="14" t="n">
        <v>188.97</v>
      </c>
      <c r="X221" s="14" t="n">
        <v>239.25</v>
      </c>
      <c r="Y221" s="14" t="n">
        <v>50.28</v>
      </c>
      <c r="Z221" s="14" t="n">
        <v>0.01</v>
      </c>
      <c r="AA221" s="14" t="n">
        <v>0</v>
      </c>
      <c r="AB221" s="14" t="n">
        <v>0</v>
      </c>
      <c r="AC221" s="14" t="n">
        <v>0</v>
      </c>
      <c r="AD221" s="15" t="n">
        <f aca="false">H221*E221/1000</f>
        <v>0</v>
      </c>
      <c r="AE221" s="15" t="n">
        <f aca="false">I221*E221/1000</f>
        <v>0</v>
      </c>
      <c r="AF221" s="16" t="n">
        <f aca="false">ROUND(S221+T221+U221+V221-W221,2)</f>
        <v>0</v>
      </c>
      <c r="AG221" s="16" t="n">
        <f aca="false">ROUND(X221-W221-Y221,2)</f>
        <v>0</v>
      </c>
    </row>
    <row r="222" customFormat="false" ht="15" hidden="false" customHeight="false" outlineLevel="0" collapsed="false">
      <c r="A222" s="13" t="s">
        <v>217</v>
      </c>
      <c r="B222" s="13" t="s">
        <v>277</v>
      </c>
      <c r="C222" s="13" t="s">
        <v>240</v>
      </c>
      <c r="D222" s="13" t="s">
        <v>224</v>
      </c>
      <c r="E222" s="14" t="n">
        <v>39.26</v>
      </c>
      <c r="F222" s="14" t="n">
        <v>220</v>
      </c>
      <c r="G222" s="14" t="n">
        <v>8.6372</v>
      </c>
      <c r="H222" s="14" t="n">
        <v>11</v>
      </c>
      <c r="I222" s="14" t="n">
        <v>1</v>
      </c>
      <c r="J222" s="14" t="n">
        <v>64.15</v>
      </c>
      <c r="K222" s="14" t="n">
        <v>122.62</v>
      </c>
      <c r="L222" s="14" t="n">
        <v>2.15</v>
      </c>
      <c r="M222" s="14" t="n">
        <v>11.27</v>
      </c>
      <c r="N222" s="14" t="n">
        <v>7</v>
      </c>
      <c r="O222" s="14" t="n">
        <v>0.54</v>
      </c>
      <c r="P222" s="14" t="n">
        <v>1.5</v>
      </c>
      <c r="Q222" s="14"/>
      <c r="R222" s="14" t="n">
        <v>1.4</v>
      </c>
      <c r="S222" s="14" t="n">
        <v>146.48</v>
      </c>
      <c r="T222" s="14" t="n">
        <v>0.9</v>
      </c>
      <c r="U222" s="14" t="n">
        <v>10.65</v>
      </c>
      <c r="V222" s="14" t="n">
        <v>19.97</v>
      </c>
      <c r="W222" s="14" t="n">
        <v>178</v>
      </c>
      <c r="X222" s="14" t="n">
        <v>239.25</v>
      </c>
      <c r="Y222" s="14" t="n">
        <v>61.25</v>
      </c>
      <c r="Z222" s="14" t="n">
        <v>4.77</v>
      </c>
      <c r="AA222" s="14" t="n">
        <v>0.21</v>
      </c>
      <c r="AB222" s="14" t="n">
        <v>0.02</v>
      </c>
      <c r="AC222" s="14" t="n">
        <v>0.29</v>
      </c>
      <c r="AD222" s="15" t="n">
        <f aca="false">H222*E222/1000</f>
        <v>0.43186</v>
      </c>
      <c r="AE222" s="15" t="n">
        <f aca="false">I222*E222/1000</f>
        <v>0.03926</v>
      </c>
      <c r="AF222" s="16" t="n">
        <f aca="false">ROUND(S222+T222+U222+V222-W222,2)</f>
        <v>0</v>
      </c>
      <c r="AG222" s="16" t="n">
        <f aca="false">ROUND(X222-W222-Y222,2)</f>
        <v>0</v>
      </c>
    </row>
    <row r="223" customFormat="false" ht="15" hidden="false" customHeight="false" outlineLevel="0" collapsed="false">
      <c r="A223" s="13" t="s">
        <v>217</v>
      </c>
      <c r="B223" s="13" t="s">
        <v>277</v>
      </c>
      <c r="C223" s="13" t="s">
        <v>240</v>
      </c>
      <c r="D223" s="13" t="s">
        <v>237</v>
      </c>
      <c r="E223" s="14" t="n">
        <v>25</v>
      </c>
      <c r="F223" s="14" t="n">
        <v>48</v>
      </c>
      <c r="G223" s="14" t="n">
        <v>1.2</v>
      </c>
      <c r="H223" s="14" t="n">
        <v>6</v>
      </c>
      <c r="I223" s="14"/>
      <c r="J223" s="14" t="n">
        <v>58.82</v>
      </c>
      <c r="K223" s="14" t="n">
        <v>123.27</v>
      </c>
      <c r="L223" s="14" t="n">
        <v>2.35</v>
      </c>
      <c r="M223" s="14" t="n">
        <v>11.76</v>
      </c>
      <c r="N223" s="14" t="n">
        <v>7</v>
      </c>
      <c r="O223" s="14" t="n">
        <v>0.45</v>
      </c>
      <c r="P223" s="14" t="n">
        <v>1.5</v>
      </c>
      <c r="Q223" s="14"/>
      <c r="R223" s="14" t="n">
        <v>1.1</v>
      </c>
      <c r="S223" s="14" t="n">
        <v>147.43</v>
      </c>
      <c r="T223" s="14" t="n">
        <v>0.9</v>
      </c>
      <c r="U223" s="14" t="n">
        <v>10.65</v>
      </c>
      <c r="V223" s="14" t="n">
        <v>20.9</v>
      </c>
      <c r="W223" s="14" t="n">
        <v>179.88</v>
      </c>
      <c r="X223" s="14" t="n">
        <v>235.13</v>
      </c>
      <c r="Y223" s="14" t="n">
        <v>55.25</v>
      </c>
      <c r="Z223" s="14" t="n">
        <v>0.5</v>
      </c>
      <c r="AA223" s="14" t="n">
        <v>0.08</v>
      </c>
      <c r="AB223" s="14" t="n">
        <v>0</v>
      </c>
      <c r="AC223" s="14" t="n">
        <v>0.08</v>
      </c>
      <c r="AD223" s="15" t="n">
        <f aca="false">H223*E223/1000</f>
        <v>0.15</v>
      </c>
      <c r="AE223" s="15" t="n">
        <f aca="false">I223*E223/1000</f>
        <v>0</v>
      </c>
      <c r="AF223" s="16" t="n">
        <f aca="false">ROUND(S223+T223+U223+V223-W223,2)</f>
        <v>0</v>
      </c>
      <c r="AG223" s="16" t="n">
        <f aca="false">ROUND(X223-W223-Y223,2)</f>
        <v>0</v>
      </c>
    </row>
    <row r="224" customFormat="false" ht="15" hidden="false" customHeight="false" outlineLevel="0" collapsed="false">
      <c r="A224" s="13" t="s">
        <v>217</v>
      </c>
      <c r="B224" s="13" t="s">
        <v>277</v>
      </c>
      <c r="C224" s="13" t="s">
        <v>240</v>
      </c>
      <c r="D224" s="13" t="s">
        <v>238</v>
      </c>
      <c r="E224" s="14" t="n">
        <v>34</v>
      </c>
      <c r="F224" s="14" t="n">
        <v>48</v>
      </c>
      <c r="G224" s="14" t="n">
        <v>1.63</v>
      </c>
      <c r="H224" s="14" t="n">
        <v>1</v>
      </c>
      <c r="I224" s="14" t="n">
        <v>1</v>
      </c>
      <c r="J224" s="14" t="n">
        <v>66.4</v>
      </c>
      <c r="K224" s="14" t="n">
        <v>122.37</v>
      </c>
      <c r="L224" s="14" t="n">
        <v>2.08</v>
      </c>
      <c r="M224" s="14" t="n">
        <v>10.61</v>
      </c>
      <c r="N224" s="14" t="n">
        <v>7</v>
      </c>
      <c r="O224" s="14" t="n">
        <v>0.45</v>
      </c>
      <c r="P224" s="14" t="n">
        <v>1.5</v>
      </c>
      <c r="Q224" s="14"/>
      <c r="R224" s="14" t="n">
        <v>1.1</v>
      </c>
      <c r="S224" s="14" t="n">
        <v>145.11</v>
      </c>
      <c r="T224" s="14" t="n">
        <v>0.9</v>
      </c>
      <c r="U224" s="14" t="n">
        <v>10.65</v>
      </c>
      <c r="V224" s="14" t="n">
        <v>19.62</v>
      </c>
      <c r="W224" s="14" t="n">
        <v>176.28</v>
      </c>
      <c r="X224" s="14" t="n">
        <v>235.13</v>
      </c>
      <c r="Y224" s="14" t="n">
        <v>58.85</v>
      </c>
      <c r="Z224" s="14" t="n">
        <v>0.88</v>
      </c>
      <c r="AA224" s="14" t="n">
        <v>0.02</v>
      </c>
      <c r="AB224" s="14" t="n">
        <v>0.02</v>
      </c>
      <c r="AC224" s="14" t="n">
        <v>0.04</v>
      </c>
      <c r="AD224" s="15" t="n">
        <f aca="false">H224*E224/1000</f>
        <v>0.034</v>
      </c>
      <c r="AE224" s="15" t="n">
        <f aca="false">I224*E224/1000</f>
        <v>0.034</v>
      </c>
      <c r="AF224" s="16" t="n">
        <f aca="false">ROUND(S224+T224+U224+V224-W224,2)</f>
        <v>0</v>
      </c>
      <c r="AG224" s="16" t="n">
        <f aca="false">ROUND(X224-W224-Y224,2)</f>
        <v>0</v>
      </c>
    </row>
    <row r="225" customFormat="false" ht="15" hidden="false" customHeight="false" outlineLevel="0" collapsed="false">
      <c r="A225" s="13" t="s">
        <v>217</v>
      </c>
      <c r="B225" s="13" t="s">
        <v>277</v>
      </c>
      <c r="C225" s="13" t="s">
        <v>240</v>
      </c>
      <c r="D225" s="13" t="s">
        <v>251</v>
      </c>
      <c r="E225" s="14" t="n">
        <v>63</v>
      </c>
      <c r="F225" s="14" t="n">
        <v>3</v>
      </c>
      <c r="G225" s="14" t="n">
        <v>0.189</v>
      </c>
      <c r="H225" s="14" t="n">
        <v>0</v>
      </c>
      <c r="I225" s="14" t="n">
        <v>1</v>
      </c>
      <c r="J225" s="14" t="n">
        <v>66.67</v>
      </c>
      <c r="K225" s="14" t="n">
        <v>122.35</v>
      </c>
      <c r="L225" s="14" t="n">
        <v>2.07</v>
      </c>
      <c r="M225" s="14" t="n">
        <v>10.56</v>
      </c>
      <c r="N225" s="14" t="n">
        <v>7</v>
      </c>
      <c r="O225" s="14" t="n">
        <v>0.56</v>
      </c>
      <c r="P225" s="14" t="n">
        <v>1.5</v>
      </c>
      <c r="Q225" s="14"/>
      <c r="R225" s="14" t="n">
        <v>1.4</v>
      </c>
      <c r="S225" s="14" t="n">
        <v>145.43</v>
      </c>
      <c r="T225" s="14" t="n">
        <v>0.9</v>
      </c>
      <c r="U225" s="14" t="n">
        <v>10.65</v>
      </c>
      <c r="V225" s="14" t="n">
        <v>19.58</v>
      </c>
      <c r="W225" s="14" t="n">
        <v>176.56</v>
      </c>
      <c r="X225" s="14" t="n">
        <v>235</v>
      </c>
      <c r="Y225" s="14" t="n">
        <v>58.44</v>
      </c>
      <c r="Z225" s="14" t="n">
        <v>0.04</v>
      </c>
      <c r="AA225" s="14" t="n">
        <v>0</v>
      </c>
      <c r="AB225" s="14" t="n">
        <v>0.04</v>
      </c>
      <c r="AC225" s="14" t="n">
        <v>0.04</v>
      </c>
      <c r="AD225" s="15" t="n">
        <f aca="false">H225*E225/1000</f>
        <v>0</v>
      </c>
      <c r="AE225" s="15" t="n">
        <f aca="false">I225*E225/1000</f>
        <v>0.063</v>
      </c>
      <c r="AF225" s="16" t="n">
        <f aca="false">ROUND(S225+T225+U225+V225-W225,2)</f>
        <v>0</v>
      </c>
      <c r="AG225" s="16" t="n">
        <f aca="false">ROUND(X225-W225-Y225,2)</f>
        <v>0</v>
      </c>
    </row>
    <row r="226" customFormat="false" ht="15" hidden="false" customHeight="false" outlineLevel="0" collapsed="false">
      <c r="A226" s="13" t="s">
        <v>217</v>
      </c>
      <c r="B226" s="13" t="s">
        <v>277</v>
      </c>
      <c r="C226" s="13" t="s">
        <v>240</v>
      </c>
      <c r="D226" s="13" t="s">
        <v>227</v>
      </c>
      <c r="E226" s="14" t="n">
        <v>18</v>
      </c>
      <c r="F226" s="14" t="n">
        <v>1</v>
      </c>
      <c r="G226" s="14" t="n">
        <v>0.018</v>
      </c>
      <c r="H226" s="14"/>
      <c r="I226" s="14"/>
      <c r="J226" s="14" t="n">
        <v>64.17</v>
      </c>
      <c r="K226" s="14" t="n">
        <v>122.62</v>
      </c>
      <c r="L226" s="14" t="n">
        <v>2.15</v>
      </c>
      <c r="M226" s="14" t="n">
        <v>14.32</v>
      </c>
      <c r="N226" s="14" t="n">
        <v>7</v>
      </c>
      <c r="O226" s="14" t="n">
        <v>0.45</v>
      </c>
      <c r="P226" s="14" t="n">
        <v>1.5</v>
      </c>
      <c r="Q226" s="14"/>
      <c r="R226" s="14" t="n">
        <v>1.4</v>
      </c>
      <c r="S226" s="14" t="n">
        <v>149.44</v>
      </c>
      <c r="T226" s="14" t="n">
        <v>0.9</v>
      </c>
      <c r="U226" s="14" t="n">
        <v>10.65</v>
      </c>
      <c r="V226" s="14" t="n">
        <v>19.96</v>
      </c>
      <c r="W226" s="14" t="n">
        <v>180.95</v>
      </c>
      <c r="X226" s="14" t="n">
        <v>239.25</v>
      </c>
      <c r="Y226" s="14" t="n">
        <v>58.3</v>
      </c>
      <c r="Z226" s="14" t="n">
        <v>0.01</v>
      </c>
      <c r="AA226" s="14" t="n">
        <v>0</v>
      </c>
      <c r="AB226" s="14" t="n">
        <v>0</v>
      </c>
      <c r="AC226" s="14" t="n">
        <v>0</v>
      </c>
      <c r="AD226" s="15" t="n">
        <f aca="false">H226*E226/1000</f>
        <v>0</v>
      </c>
      <c r="AE226" s="15" t="n">
        <f aca="false">I226*E226/1000</f>
        <v>0</v>
      </c>
      <c r="AF226" s="16" t="n">
        <f aca="false">ROUND(S226+T226+U226+V226-W226,2)</f>
        <v>0</v>
      </c>
      <c r="AG226" s="16" t="n">
        <f aca="false">ROUND(X226-W226-Y226,2)</f>
        <v>0</v>
      </c>
    </row>
    <row r="227" customFormat="false" ht="15" hidden="false" customHeight="false" outlineLevel="0" collapsed="false">
      <c r="A227" s="13" t="s">
        <v>217</v>
      </c>
      <c r="B227" s="13" t="s">
        <v>277</v>
      </c>
      <c r="C227" s="13" t="s">
        <v>240</v>
      </c>
      <c r="D227" s="13" t="s">
        <v>225</v>
      </c>
      <c r="E227" s="14" t="n">
        <v>28.92</v>
      </c>
      <c r="F227" s="14" t="n">
        <v>32</v>
      </c>
      <c r="G227" s="14" t="n">
        <v>0.9254</v>
      </c>
      <c r="H227" s="14" t="n">
        <v>1</v>
      </c>
      <c r="I227" s="14"/>
      <c r="J227" s="14" t="n">
        <v>63.01</v>
      </c>
      <c r="K227" s="14" t="n">
        <v>122.75</v>
      </c>
      <c r="L227" s="14" t="n">
        <v>2.19</v>
      </c>
      <c r="M227" s="14" t="n">
        <v>12.99</v>
      </c>
      <c r="N227" s="14" t="n">
        <v>7</v>
      </c>
      <c r="O227" s="14" t="n">
        <v>0.45</v>
      </c>
      <c r="P227" s="14" t="n">
        <v>1.5</v>
      </c>
      <c r="Q227" s="14"/>
      <c r="R227" s="14" t="n">
        <v>1.4</v>
      </c>
      <c r="S227" s="14" t="n">
        <v>148.28</v>
      </c>
      <c r="T227" s="14" t="n">
        <v>0.9</v>
      </c>
      <c r="U227" s="14" t="n">
        <v>10.65</v>
      </c>
      <c r="V227" s="14" t="n">
        <v>20.15</v>
      </c>
      <c r="W227" s="14" t="n">
        <v>179.98</v>
      </c>
      <c r="X227" s="14" t="n">
        <v>239.25</v>
      </c>
      <c r="Y227" s="14" t="n">
        <v>59.27</v>
      </c>
      <c r="Z227" s="14" t="n">
        <v>0.52</v>
      </c>
      <c r="AA227" s="14" t="n">
        <v>0.01</v>
      </c>
      <c r="AB227" s="14" t="n">
        <v>0</v>
      </c>
      <c r="AC227" s="14" t="n">
        <v>0.02</v>
      </c>
      <c r="AD227" s="15" t="n">
        <f aca="false">H227*E227/1000</f>
        <v>0.02892</v>
      </c>
      <c r="AE227" s="15" t="n">
        <f aca="false">I227*E227/1000</f>
        <v>0</v>
      </c>
      <c r="AF227" s="16" t="n">
        <f aca="false">ROUND(S227+T227+U227+V227-W227,2)</f>
        <v>0</v>
      </c>
      <c r="AG227" s="16" t="n">
        <f aca="false">ROUND(X227-W227-Y227,2)</f>
        <v>0</v>
      </c>
    </row>
    <row r="228" customFormat="false" ht="15" hidden="false" customHeight="false" outlineLevel="0" collapsed="false">
      <c r="A228" s="13" t="s">
        <v>217</v>
      </c>
      <c r="B228" s="13" t="s">
        <v>277</v>
      </c>
      <c r="C228" s="13" t="s">
        <v>241</v>
      </c>
      <c r="D228" s="13" t="s">
        <v>236</v>
      </c>
      <c r="E228" s="14" t="n">
        <v>31.66</v>
      </c>
      <c r="F228" s="14"/>
      <c r="G228" s="14" t="n">
        <v>0</v>
      </c>
      <c r="H228" s="14" t="n">
        <v>2</v>
      </c>
      <c r="I228" s="14" t="n">
        <v>1</v>
      </c>
      <c r="J228" s="14" t="n">
        <v>61.09</v>
      </c>
      <c r="K228" s="14" t="n">
        <v>122.98</v>
      </c>
      <c r="L228" s="14" t="n">
        <v>2.26</v>
      </c>
      <c r="M228" s="14" t="n">
        <v>11.79</v>
      </c>
      <c r="N228" s="14" t="n">
        <v>7</v>
      </c>
      <c r="O228" s="14" t="n">
        <v>0.59</v>
      </c>
      <c r="P228" s="14" t="n">
        <v>1.5</v>
      </c>
      <c r="Q228" s="14"/>
      <c r="R228" s="14" t="n">
        <v>1.1</v>
      </c>
      <c r="S228" s="14" t="n">
        <v>147.21</v>
      </c>
      <c r="T228" s="14" t="n">
        <v>0.9</v>
      </c>
      <c r="U228" s="14" t="n">
        <v>10.65</v>
      </c>
      <c r="V228" s="14" t="n">
        <v>20.48</v>
      </c>
      <c r="W228" s="14" t="n">
        <v>179.25</v>
      </c>
      <c r="X228" s="14" t="n">
        <v>235.13</v>
      </c>
      <c r="Y228" s="14" t="n">
        <v>55.88</v>
      </c>
      <c r="Z228" s="14" t="n">
        <v>-0.1</v>
      </c>
      <c r="AA228" s="14" t="n">
        <v>0.03</v>
      </c>
      <c r="AB228" s="14" t="n">
        <v>0.02</v>
      </c>
      <c r="AC228" s="14" t="n">
        <v>0.05</v>
      </c>
      <c r="AD228" s="15" t="n">
        <f aca="false">H228*E228/1000</f>
        <v>0.06332</v>
      </c>
      <c r="AE228" s="15" t="n">
        <f aca="false">I228*E228/1000</f>
        <v>0.03166</v>
      </c>
      <c r="AF228" s="16" t="n">
        <f aca="false">ROUND(S228+T228+U228+V228-W228,2)</f>
        <v>-0.01</v>
      </c>
      <c r="AG228" s="16" t="n">
        <f aca="false">ROUND(X228-W228-Y228,2)</f>
        <v>0</v>
      </c>
    </row>
    <row r="229" customFormat="false" ht="15" hidden="false" customHeight="false" outlineLevel="0" collapsed="false">
      <c r="A229" s="13" t="s">
        <v>217</v>
      </c>
      <c r="B229" s="13" t="s">
        <v>277</v>
      </c>
      <c r="C229" s="13" t="s">
        <v>241</v>
      </c>
      <c r="D229" s="13" t="s">
        <v>232</v>
      </c>
      <c r="E229" s="14" t="n">
        <v>50.15</v>
      </c>
      <c r="F229" s="14" t="n">
        <v>312</v>
      </c>
      <c r="G229" s="14" t="n">
        <v>15.65</v>
      </c>
      <c r="H229" s="14"/>
      <c r="I229" s="14"/>
      <c r="J229" s="14" t="n">
        <v>67.99</v>
      </c>
      <c r="K229" s="14" t="n">
        <v>125.02</v>
      </c>
      <c r="L229" s="14" t="n">
        <v>2.03</v>
      </c>
      <c r="M229" s="14" t="n">
        <v>9.76</v>
      </c>
      <c r="N229" s="14" t="n">
        <v>4.93</v>
      </c>
      <c r="O229" s="14" t="n">
        <v>0.59</v>
      </c>
      <c r="P229" s="14" t="n">
        <v>1.5</v>
      </c>
      <c r="Q229" s="14"/>
      <c r="R229" s="14" t="n">
        <v>1.1</v>
      </c>
      <c r="S229" s="14" t="n">
        <v>144.93</v>
      </c>
      <c r="T229" s="14" t="n">
        <v>0.9</v>
      </c>
      <c r="U229" s="14" t="n">
        <v>10.65</v>
      </c>
      <c r="V229" s="14" t="n">
        <v>19.38</v>
      </c>
      <c r="W229" s="14" t="n">
        <v>175.86</v>
      </c>
      <c r="X229" s="14" t="n">
        <v>235.05</v>
      </c>
      <c r="Y229" s="14" t="n">
        <v>59.19</v>
      </c>
      <c r="Z229" s="14" t="n">
        <v>9.26</v>
      </c>
      <c r="AA229" s="14" t="n">
        <v>0</v>
      </c>
      <c r="AB229" s="14" t="n">
        <v>0</v>
      </c>
      <c r="AC229" s="14" t="n">
        <v>0</v>
      </c>
      <c r="AD229" s="15" t="n">
        <f aca="false">H229*E229/1000</f>
        <v>0</v>
      </c>
      <c r="AE229" s="15" t="n">
        <f aca="false">I229*E229/1000</f>
        <v>0</v>
      </c>
      <c r="AF229" s="16" t="n">
        <f aca="false">ROUND(S229+T229+U229+V229-W229,2)</f>
        <v>0</v>
      </c>
      <c r="AG229" s="16" t="n">
        <f aca="false">ROUND(X229-W229-Y229,2)</f>
        <v>0</v>
      </c>
    </row>
    <row r="230" customFormat="false" ht="15" hidden="false" customHeight="false" outlineLevel="0" collapsed="false">
      <c r="A230" s="13" t="s">
        <v>217</v>
      </c>
      <c r="B230" s="13" t="s">
        <v>277</v>
      </c>
      <c r="C230" s="13" t="s">
        <v>241</v>
      </c>
      <c r="D230" s="13" t="s">
        <v>244</v>
      </c>
      <c r="E230" s="14" t="n">
        <v>37.5</v>
      </c>
      <c r="F230" s="14" t="n">
        <v>264</v>
      </c>
      <c r="G230" s="14" t="n">
        <v>9.9</v>
      </c>
      <c r="H230" s="14" t="n">
        <v>10</v>
      </c>
      <c r="I230" s="14"/>
      <c r="J230" s="14" t="n">
        <v>63.73</v>
      </c>
      <c r="K230" s="14" t="n">
        <v>125.48</v>
      </c>
      <c r="L230" s="14" t="n">
        <v>2.17</v>
      </c>
      <c r="M230" s="14" t="n">
        <v>9.79</v>
      </c>
      <c r="N230" s="14" t="n">
        <v>4.93</v>
      </c>
      <c r="O230" s="14" t="n">
        <v>0.59</v>
      </c>
      <c r="P230" s="14" t="n">
        <v>1.5</v>
      </c>
      <c r="Q230" s="14"/>
      <c r="R230" s="14" t="n">
        <v>1.1</v>
      </c>
      <c r="S230" s="14" t="n">
        <v>145.55</v>
      </c>
      <c r="T230" s="14" t="n">
        <v>0.9</v>
      </c>
      <c r="U230" s="14" t="n">
        <v>10.65</v>
      </c>
      <c r="V230" s="14" t="n">
        <v>20.04</v>
      </c>
      <c r="W230" s="14" t="n">
        <v>177.14</v>
      </c>
      <c r="X230" s="14" t="n">
        <v>235.05</v>
      </c>
      <c r="Y230" s="14" t="n">
        <v>57.91</v>
      </c>
      <c r="Z230" s="14" t="n">
        <v>5.37</v>
      </c>
      <c r="AA230" s="14" t="n">
        <v>0.15</v>
      </c>
      <c r="AB230" s="14" t="n">
        <v>0</v>
      </c>
      <c r="AC230" s="14" t="n">
        <v>0.22</v>
      </c>
      <c r="AD230" s="15" t="n">
        <f aca="false">H230*E230/1000</f>
        <v>0.375</v>
      </c>
      <c r="AE230" s="15" t="n">
        <f aca="false">I230*E230/1000</f>
        <v>0</v>
      </c>
      <c r="AF230" s="16" t="n">
        <f aca="false">ROUND(S230+T230+U230+V230-W230,2)</f>
        <v>0</v>
      </c>
      <c r="AG230" s="16" t="n">
        <f aca="false">ROUND(X230-W230-Y230,2)</f>
        <v>0</v>
      </c>
    </row>
    <row r="231" customFormat="false" ht="15" hidden="false" customHeight="false" outlineLevel="0" collapsed="false">
      <c r="A231" s="13" t="s">
        <v>217</v>
      </c>
      <c r="B231" s="13" t="s">
        <v>277</v>
      </c>
      <c r="C231" s="13" t="s">
        <v>241</v>
      </c>
      <c r="D231" s="13" t="s">
        <v>289</v>
      </c>
      <c r="E231" s="14" t="n">
        <v>472</v>
      </c>
      <c r="F231" s="14" t="n">
        <v>20</v>
      </c>
      <c r="G231" s="14" t="n">
        <v>9.44</v>
      </c>
      <c r="H231" s="14" t="n">
        <v>5</v>
      </c>
      <c r="I231" s="14" t="n">
        <v>5</v>
      </c>
      <c r="J231" s="14" t="n">
        <v>73.14</v>
      </c>
      <c r="K231" s="14" t="n">
        <v>124.53</v>
      </c>
      <c r="L231" s="14" t="n">
        <v>1.89</v>
      </c>
      <c r="M231" s="14" t="n">
        <v>9.45</v>
      </c>
      <c r="N231" s="14" t="n">
        <v>7</v>
      </c>
      <c r="O231" s="14"/>
      <c r="P231" s="14" t="n">
        <v>1.5</v>
      </c>
      <c r="Q231" s="14"/>
      <c r="R231" s="14" t="n">
        <v>0.52</v>
      </c>
      <c r="S231" s="14" t="n">
        <v>144.88</v>
      </c>
      <c r="T231" s="14" t="n">
        <v>0.9</v>
      </c>
      <c r="U231" s="14" t="n">
        <v>10.65</v>
      </c>
      <c r="V231" s="14" t="n">
        <v>18.7</v>
      </c>
      <c r="W231" s="14" t="n">
        <v>175.13</v>
      </c>
      <c r="X231" s="14" t="n">
        <v>235.12</v>
      </c>
      <c r="Y231" s="14" t="n">
        <v>59.99</v>
      </c>
      <c r="Z231" s="14" t="n">
        <v>0.66</v>
      </c>
      <c r="AA231" s="14" t="n">
        <v>0.86</v>
      </c>
      <c r="AB231" s="14" t="n">
        <v>1.31</v>
      </c>
      <c r="AC231" s="14" t="n">
        <v>2.83</v>
      </c>
      <c r="AD231" s="15" t="n">
        <f aca="false">H231*E231/1000</f>
        <v>2.36</v>
      </c>
      <c r="AE231" s="15" t="n">
        <f aca="false">I231*E231/1000</f>
        <v>2.36</v>
      </c>
      <c r="AF231" s="16" t="n">
        <f aca="false">ROUND(S231+T231+U231+V231-W231,2)</f>
        <v>0</v>
      </c>
      <c r="AG231" s="16" t="n">
        <f aca="false">ROUND(X231-W231-Y231,2)</f>
        <v>0</v>
      </c>
    </row>
    <row r="232" customFormat="false" ht="15" hidden="false" customHeight="false" outlineLevel="0" collapsed="false">
      <c r="A232" s="13" t="s">
        <v>217</v>
      </c>
      <c r="B232" s="13" t="s">
        <v>277</v>
      </c>
      <c r="C232" s="13" t="s">
        <v>241</v>
      </c>
      <c r="D232" s="13" t="s">
        <v>224</v>
      </c>
      <c r="E232" s="14" t="n">
        <v>39.26</v>
      </c>
      <c r="F232" s="14"/>
      <c r="G232" s="14" t="n">
        <v>0</v>
      </c>
      <c r="H232" s="14" t="n">
        <v>1</v>
      </c>
      <c r="I232" s="14"/>
      <c r="J232" s="14" t="n">
        <v>64.15</v>
      </c>
      <c r="K232" s="14" t="n">
        <v>122.62</v>
      </c>
      <c r="L232" s="14" t="n">
        <v>2.15</v>
      </c>
      <c r="M232" s="14" t="n">
        <v>11.97</v>
      </c>
      <c r="N232" s="14" t="n">
        <v>7</v>
      </c>
      <c r="O232" s="14" t="n">
        <v>0.59</v>
      </c>
      <c r="P232" s="14" t="n">
        <v>1.5</v>
      </c>
      <c r="Q232" s="14"/>
      <c r="R232" s="14" t="n">
        <v>1.4</v>
      </c>
      <c r="S232" s="14" t="n">
        <v>147.23</v>
      </c>
      <c r="T232" s="14" t="n">
        <v>0.9</v>
      </c>
      <c r="U232" s="14" t="n">
        <v>10.65</v>
      </c>
      <c r="V232" s="14" t="n">
        <v>19.97</v>
      </c>
      <c r="W232" s="14" t="n">
        <v>178.74</v>
      </c>
      <c r="X232" s="14" t="n">
        <v>239.25</v>
      </c>
      <c r="Y232" s="14" t="n">
        <v>60.51</v>
      </c>
      <c r="Z232" s="14" t="n">
        <v>-0.04</v>
      </c>
      <c r="AA232" s="14" t="n">
        <v>0.02</v>
      </c>
      <c r="AB232" s="14" t="n">
        <v>0</v>
      </c>
      <c r="AC232" s="14" t="n">
        <v>0.02</v>
      </c>
      <c r="AD232" s="15" t="n">
        <f aca="false">H232*E232/1000</f>
        <v>0.03926</v>
      </c>
      <c r="AE232" s="15" t="n">
        <f aca="false">I232*E232/1000</f>
        <v>0</v>
      </c>
      <c r="AF232" s="16" t="n">
        <f aca="false">ROUND(S232+T232+U232+V232-W232,2)</f>
        <v>0.01</v>
      </c>
      <c r="AG232" s="16" t="n">
        <f aca="false">ROUND(X232-W232-Y232,2)</f>
        <v>0</v>
      </c>
    </row>
    <row r="233" customFormat="false" ht="15" hidden="false" customHeight="false" outlineLevel="0" collapsed="false">
      <c r="A233" s="13" t="s">
        <v>217</v>
      </c>
      <c r="B233" s="13" t="s">
        <v>277</v>
      </c>
      <c r="C233" s="13" t="s">
        <v>241</v>
      </c>
      <c r="D233" s="13" t="s">
        <v>253</v>
      </c>
      <c r="E233" s="14" t="n">
        <v>32.7</v>
      </c>
      <c r="F233" s="14" t="n">
        <v>148</v>
      </c>
      <c r="G233" s="14" t="n">
        <v>4.8396</v>
      </c>
      <c r="H233" s="14"/>
      <c r="I233" s="14"/>
      <c r="J233" s="14" t="n">
        <v>60.61</v>
      </c>
      <c r="K233" s="14" t="n">
        <v>125.86</v>
      </c>
      <c r="L233" s="14" t="n">
        <v>2.28</v>
      </c>
      <c r="M233" s="14" t="n">
        <v>10.92</v>
      </c>
      <c r="N233" s="14" t="n">
        <v>4.93</v>
      </c>
      <c r="O233" s="14" t="n">
        <v>0.59</v>
      </c>
      <c r="P233" s="14" t="n">
        <v>1.5</v>
      </c>
      <c r="Q233" s="14"/>
      <c r="R233" s="14" t="n">
        <v>1.1</v>
      </c>
      <c r="S233" s="14" t="n">
        <v>147.18</v>
      </c>
      <c r="T233" s="14" t="n">
        <v>0.9</v>
      </c>
      <c r="U233" s="14" t="n">
        <v>10.65</v>
      </c>
      <c r="V233" s="14" t="n">
        <v>20.57</v>
      </c>
      <c r="W233" s="14" t="n">
        <v>179.3</v>
      </c>
      <c r="X233" s="14" t="n">
        <v>235.05</v>
      </c>
      <c r="Y233" s="14" t="n">
        <v>55.75</v>
      </c>
      <c r="Z233" s="14" t="n">
        <v>2.7</v>
      </c>
      <c r="AA233" s="14" t="n">
        <v>0</v>
      </c>
      <c r="AB233" s="14" t="n">
        <v>0</v>
      </c>
      <c r="AC233" s="14" t="n">
        <v>0</v>
      </c>
      <c r="AD233" s="15" t="n">
        <f aca="false">H233*E233/1000</f>
        <v>0</v>
      </c>
      <c r="AE233" s="15" t="n">
        <f aca="false">I233*E233/1000</f>
        <v>0</v>
      </c>
      <c r="AF233" s="16" t="n">
        <f aca="false">ROUND(S233+T233+U233+V233-W233,2)</f>
        <v>0</v>
      </c>
      <c r="AG233" s="16" t="n">
        <f aca="false">ROUND(X233-W233-Y233,2)</f>
        <v>0</v>
      </c>
    </row>
    <row r="234" customFormat="false" ht="15" hidden="false" customHeight="false" outlineLevel="0" collapsed="false">
      <c r="A234" s="13" t="s">
        <v>217</v>
      </c>
      <c r="B234" s="13" t="s">
        <v>277</v>
      </c>
      <c r="C234" s="13" t="s">
        <v>241</v>
      </c>
      <c r="D234" s="13" t="s">
        <v>284</v>
      </c>
      <c r="E234" s="14" t="n">
        <v>46</v>
      </c>
      <c r="F234" s="14"/>
      <c r="G234" s="14" t="n">
        <v>0</v>
      </c>
      <c r="H234" s="14" t="n">
        <v>1</v>
      </c>
      <c r="I234" s="14"/>
      <c r="J234" s="14" t="n">
        <v>62.75</v>
      </c>
      <c r="K234" s="14" t="n">
        <v>128.76</v>
      </c>
      <c r="L234" s="14" t="n">
        <v>2.2</v>
      </c>
      <c r="M234" s="14" t="n">
        <v>11.67</v>
      </c>
      <c r="N234" s="14" t="n">
        <v>4.93</v>
      </c>
      <c r="O234" s="14" t="n">
        <v>0.59</v>
      </c>
      <c r="P234" s="14" t="n">
        <v>1.5</v>
      </c>
      <c r="Q234" s="14"/>
      <c r="R234" s="14" t="n">
        <v>1.4</v>
      </c>
      <c r="S234" s="14" t="n">
        <v>151.04</v>
      </c>
      <c r="T234" s="14" t="n">
        <v>0.9</v>
      </c>
      <c r="U234" s="14" t="n">
        <v>10.65</v>
      </c>
      <c r="V234" s="14" t="n">
        <v>20.2</v>
      </c>
      <c r="W234" s="14" t="n">
        <v>182.78</v>
      </c>
      <c r="X234" s="14" t="n">
        <v>244.08</v>
      </c>
      <c r="Y234" s="14" t="n">
        <v>61.3</v>
      </c>
      <c r="Z234" s="14" t="n">
        <v>-0.05</v>
      </c>
      <c r="AA234" s="14" t="n">
        <v>0.02</v>
      </c>
      <c r="AB234" s="14" t="n">
        <v>0</v>
      </c>
      <c r="AC234" s="14" t="n">
        <v>0.03</v>
      </c>
      <c r="AD234" s="15" t="n">
        <f aca="false">H234*E234/1000</f>
        <v>0.046</v>
      </c>
      <c r="AE234" s="15" t="n">
        <f aca="false">I234*E234/1000</f>
        <v>0</v>
      </c>
      <c r="AF234" s="16" t="n">
        <f aca="false">ROUND(S234+T234+U234+V234-W234,2)</f>
        <v>0.01</v>
      </c>
      <c r="AG234" s="16" t="n">
        <f aca="false">ROUND(X234-W234-Y234,2)</f>
        <v>0</v>
      </c>
    </row>
    <row r="235" customFormat="false" ht="15" hidden="false" customHeight="false" outlineLevel="0" collapsed="false">
      <c r="A235" s="13" t="s">
        <v>217</v>
      </c>
      <c r="B235" s="13" t="s">
        <v>277</v>
      </c>
      <c r="C235" s="13" t="s">
        <v>246</v>
      </c>
      <c r="D235" s="13" t="s">
        <v>230</v>
      </c>
      <c r="E235" s="14" t="n">
        <v>34.5</v>
      </c>
      <c r="F235" s="14" t="n">
        <v>6</v>
      </c>
      <c r="G235" s="14" t="n">
        <v>0.21</v>
      </c>
      <c r="H235" s="14"/>
      <c r="I235" s="14"/>
      <c r="J235" s="14" t="n">
        <v>69.03</v>
      </c>
      <c r="K235" s="14" t="n">
        <v>128.22</v>
      </c>
      <c r="L235" s="14" t="n">
        <v>2</v>
      </c>
      <c r="M235" s="14" t="n">
        <v>12.45</v>
      </c>
      <c r="N235" s="14" t="n">
        <v>4.93</v>
      </c>
      <c r="O235" s="14" t="n">
        <v>0.59</v>
      </c>
      <c r="P235" s="14" t="n">
        <v>1</v>
      </c>
      <c r="Q235" s="14"/>
      <c r="R235" s="14" t="n">
        <v>1.4</v>
      </c>
      <c r="S235" s="14" t="n">
        <v>150.59</v>
      </c>
      <c r="T235" s="14" t="n">
        <v>0.9</v>
      </c>
      <c r="U235" s="14" t="n">
        <v>10.65</v>
      </c>
      <c r="V235" s="14" t="n">
        <v>19.24</v>
      </c>
      <c r="W235" s="14" t="n">
        <v>181.38</v>
      </c>
      <c r="X235" s="14" t="n">
        <v>237.11</v>
      </c>
      <c r="Y235" s="14" t="n">
        <v>55.73</v>
      </c>
      <c r="Z235" s="14" t="n">
        <v>0.12</v>
      </c>
      <c r="AA235" s="14" t="n">
        <v>0</v>
      </c>
      <c r="AB235" s="14" t="n">
        <v>0</v>
      </c>
      <c r="AC235" s="14" t="n">
        <v>0</v>
      </c>
      <c r="AD235" s="15" t="n">
        <f aca="false">H235*E235/1000</f>
        <v>0</v>
      </c>
      <c r="AE235" s="15" t="n">
        <f aca="false">I235*E235/1000</f>
        <v>0</v>
      </c>
      <c r="AF235" s="16" t="n">
        <f aca="false">ROUND(S235+T235+U235+V235-W235,2)</f>
        <v>0</v>
      </c>
      <c r="AG235" s="16" t="n">
        <f aca="false">ROUND(X235-W235-Y235,2)</f>
        <v>0</v>
      </c>
    </row>
    <row r="236" customFormat="false" ht="15" hidden="false" customHeight="false" outlineLevel="0" collapsed="false">
      <c r="A236" s="13" t="s">
        <v>217</v>
      </c>
      <c r="B236" s="13" t="s">
        <v>277</v>
      </c>
      <c r="C236" s="13" t="s">
        <v>246</v>
      </c>
      <c r="D236" s="13" t="s">
        <v>243</v>
      </c>
      <c r="E236" s="14" t="n">
        <v>37.78</v>
      </c>
      <c r="F236" s="14" t="n">
        <v>76</v>
      </c>
      <c r="G236" s="14" t="n">
        <v>2.8713</v>
      </c>
      <c r="H236" s="14" t="n">
        <v>4</v>
      </c>
      <c r="I236" s="14" t="n">
        <v>1</v>
      </c>
      <c r="J236" s="14" t="n">
        <v>64.1</v>
      </c>
      <c r="K236" s="14" t="n">
        <v>128.76</v>
      </c>
      <c r="L236" s="14" t="n">
        <v>2.15</v>
      </c>
      <c r="M236" s="14" t="n">
        <v>15.28</v>
      </c>
      <c r="N236" s="14" t="n">
        <v>4.93</v>
      </c>
      <c r="O236" s="14" t="n">
        <v>0.59</v>
      </c>
      <c r="P236" s="14" t="n">
        <v>1</v>
      </c>
      <c r="Q236" s="14"/>
      <c r="R236" s="14" t="n">
        <v>1.1</v>
      </c>
      <c r="S236" s="14" t="n">
        <v>153.81</v>
      </c>
      <c r="T236" s="14" t="n">
        <v>0.9</v>
      </c>
      <c r="U236" s="14" t="n">
        <v>10.65</v>
      </c>
      <c r="V236" s="14" t="n">
        <v>19.98</v>
      </c>
      <c r="W236" s="14" t="n">
        <v>185.34</v>
      </c>
      <c r="X236" s="14" t="n">
        <v>237.11</v>
      </c>
      <c r="Y236" s="14" t="n">
        <v>51.77</v>
      </c>
      <c r="Z236" s="14" t="n">
        <v>1.3</v>
      </c>
      <c r="AA236" s="14" t="n">
        <v>0.07</v>
      </c>
      <c r="AB236" s="14" t="n">
        <v>0.02</v>
      </c>
      <c r="AC236" s="14" t="n">
        <v>0.1</v>
      </c>
      <c r="AD236" s="15" t="n">
        <f aca="false">H236*E236/1000</f>
        <v>0.15112</v>
      </c>
      <c r="AE236" s="15" t="n">
        <f aca="false">I236*E236/1000</f>
        <v>0.03778</v>
      </c>
      <c r="AF236" s="16" t="n">
        <f aca="false">ROUND(S236+T236+U236+V236-W236,2)</f>
        <v>0</v>
      </c>
      <c r="AG236" s="16" t="n">
        <f aca="false">ROUND(X236-W236-Y236,2)</f>
        <v>0</v>
      </c>
    </row>
    <row r="237" customFormat="false" ht="15" hidden="false" customHeight="false" outlineLevel="0" collapsed="false">
      <c r="A237" s="13" t="s">
        <v>217</v>
      </c>
      <c r="B237" s="13" t="s">
        <v>277</v>
      </c>
      <c r="C237" s="13" t="s">
        <v>246</v>
      </c>
      <c r="D237" s="13" t="s">
        <v>242</v>
      </c>
      <c r="E237" s="14" t="n">
        <v>28.96</v>
      </c>
      <c r="F237" s="14" t="n">
        <v>80</v>
      </c>
      <c r="G237" s="14" t="n">
        <v>2.3168</v>
      </c>
      <c r="H237" s="14" t="n">
        <v>4</v>
      </c>
      <c r="I237" s="14"/>
      <c r="J237" s="14" t="n">
        <v>60.78</v>
      </c>
      <c r="K237" s="14" t="n">
        <v>129.18</v>
      </c>
      <c r="L237" s="14" t="n">
        <v>2.27</v>
      </c>
      <c r="M237" s="14" t="n">
        <v>11.99</v>
      </c>
      <c r="N237" s="14" t="n">
        <v>4.93</v>
      </c>
      <c r="O237" s="14" t="n">
        <v>0.59</v>
      </c>
      <c r="P237" s="14" t="n">
        <v>1</v>
      </c>
      <c r="Q237" s="14"/>
      <c r="R237" s="14" t="n">
        <v>1.1</v>
      </c>
      <c r="S237" s="14" t="n">
        <v>151.05</v>
      </c>
      <c r="T237" s="14" t="n">
        <v>0.9</v>
      </c>
      <c r="U237" s="14" t="n">
        <v>10.65</v>
      </c>
      <c r="V237" s="14" t="n">
        <v>20.54</v>
      </c>
      <c r="W237" s="14" t="n">
        <v>183.14</v>
      </c>
      <c r="X237" s="14" t="n">
        <v>237.11</v>
      </c>
      <c r="Y237" s="14" t="n">
        <v>53.97</v>
      </c>
      <c r="Z237" s="14" t="n">
        <v>1.14</v>
      </c>
      <c r="AA237" s="14" t="n">
        <v>0.05</v>
      </c>
      <c r="AB237" s="14" t="n">
        <v>0</v>
      </c>
      <c r="AC237" s="14" t="n">
        <v>0.06</v>
      </c>
      <c r="AD237" s="15" t="n">
        <f aca="false">H237*E237/1000</f>
        <v>0.11584</v>
      </c>
      <c r="AE237" s="15" t="n">
        <f aca="false">I237*E237/1000</f>
        <v>0</v>
      </c>
      <c r="AF237" s="16" t="n">
        <f aca="false">ROUND(S237+T237+U237+V237-W237,2)</f>
        <v>0</v>
      </c>
      <c r="AG237" s="16" t="n">
        <f aca="false">ROUND(X237-W237-Y237,2)</f>
        <v>0</v>
      </c>
    </row>
    <row r="238" customFormat="false" ht="15" hidden="false" customHeight="false" outlineLevel="0" collapsed="false">
      <c r="A238" s="13" t="s">
        <v>217</v>
      </c>
      <c r="B238" s="13" t="s">
        <v>277</v>
      </c>
      <c r="C238" s="13" t="s">
        <v>246</v>
      </c>
      <c r="D238" s="13" t="s">
        <v>232</v>
      </c>
      <c r="E238" s="14" t="n">
        <v>50.15</v>
      </c>
      <c r="F238" s="14" t="n">
        <v>294</v>
      </c>
      <c r="G238" s="14" t="n">
        <v>14.74</v>
      </c>
      <c r="H238" s="14" t="n">
        <v>12</v>
      </c>
      <c r="I238" s="14" t="n">
        <v>6</v>
      </c>
      <c r="J238" s="14" t="n">
        <v>67.99</v>
      </c>
      <c r="K238" s="14" t="n">
        <v>128.33</v>
      </c>
      <c r="L238" s="14" t="n">
        <v>2.03</v>
      </c>
      <c r="M238" s="14" t="n">
        <v>9.76</v>
      </c>
      <c r="N238" s="14" t="n">
        <v>4.93</v>
      </c>
      <c r="O238" s="14" t="n">
        <v>0.59</v>
      </c>
      <c r="P238" s="14" t="n">
        <v>1</v>
      </c>
      <c r="Q238" s="14"/>
      <c r="R238" s="14" t="n">
        <v>1.1</v>
      </c>
      <c r="S238" s="14" t="n">
        <v>147.74</v>
      </c>
      <c r="T238" s="14" t="n">
        <v>0.9</v>
      </c>
      <c r="U238" s="14" t="n">
        <v>10.65</v>
      </c>
      <c r="V238" s="14" t="n">
        <v>19.38</v>
      </c>
      <c r="W238" s="14" t="n">
        <v>178.67</v>
      </c>
      <c r="X238" s="14" t="n">
        <v>235.05</v>
      </c>
      <c r="Y238" s="14" t="n">
        <v>56.38</v>
      </c>
      <c r="Z238" s="14" t="n">
        <v>7.41</v>
      </c>
      <c r="AA238" s="14" t="n">
        <v>0.23</v>
      </c>
      <c r="AB238" s="14" t="n">
        <v>0.17</v>
      </c>
      <c r="AC238" s="14" t="n">
        <v>0.51</v>
      </c>
      <c r="AD238" s="15" t="n">
        <f aca="false">H238*E238/1000</f>
        <v>0.6018</v>
      </c>
      <c r="AE238" s="15" t="n">
        <f aca="false">I238*E238/1000</f>
        <v>0.3009</v>
      </c>
      <c r="AF238" s="16" t="n">
        <f aca="false">ROUND(S238+T238+U238+V238-W238,2)</f>
        <v>0</v>
      </c>
      <c r="AG238" s="16" t="n">
        <f aca="false">ROUND(X238-W238-Y238,2)</f>
        <v>0</v>
      </c>
    </row>
    <row r="239" customFormat="false" ht="15" hidden="false" customHeight="false" outlineLevel="0" collapsed="false">
      <c r="A239" s="13" t="s">
        <v>217</v>
      </c>
      <c r="B239" s="13" t="s">
        <v>277</v>
      </c>
      <c r="C239" s="13" t="s">
        <v>246</v>
      </c>
      <c r="D239" s="13" t="s">
        <v>244</v>
      </c>
      <c r="E239" s="14" t="n">
        <v>37.5</v>
      </c>
      <c r="F239" s="14" t="n">
        <v>24</v>
      </c>
      <c r="G239" s="14" t="n">
        <v>0.9</v>
      </c>
      <c r="H239" s="14" t="n">
        <v>24</v>
      </c>
      <c r="I239" s="14" t="n">
        <v>1</v>
      </c>
      <c r="J239" s="14" t="n">
        <v>63.73</v>
      </c>
      <c r="K239" s="14" t="n">
        <v>128.81</v>
      </c>
      <c r="L239" s="14" t="n">
        <v>2.17</v>
      </c>
      <c r="M239" s="14" t="n">
        <v>9.79</v>
      </c>
      <c r="N239" s="14" t="n">
        <v>4.93</v>
      </c>
      <c r="O239" s="14" t="n">
        <v>0.59</v>
      </c>
      <c r="P239" s="14" t="n">
        <v>1</v>
      </c>
      <c r="Q239" s="14"/>
      <c r="R239" s="14" t="n">
        <v>1.1</v>
      </c>
      <c r="S239" s="14" t="n">
        <v>148.38</v>
      </c>
      <c r="T239" s="14" t="n">
        <v>0.9</v>
      </c>
      <c r="U239" s="14" t="n">
        <v>10.65</v>
      </c>
      <c r="V239" s="14" t="n">
        <v>20.04</v>
      </c>
      <c r="W239" s="14" t="n">
        <v>179.97</v>
      </c>
      <c r="X239" s="14" t="n">
        <v>235.05</v>
      </c>
      <c r="Y239" s="14" t="n">
        <v>55.08</v>
      </c>
      <c r="Z239" s="14" t="n">
        <v>-0.39</v>
      </c>
      <c r="AA239" s="14" t="n">
        <v>0.35</v>
      </c>
      <c r="AB239" s="14" t="n">
        <v>0.02</v>
      </c>
      <c r="AC239" s="14" t="n">
        <v>0.52</v>
      </c>
      <c r="AD239" s="15" t="n">
        <f aca="false">H239*E239/1000</f>
        <v>0.9</v>
      </c>
      <c r="AE239" s="15" t="n">
        <f aca="false">I239*E239/1000</f>
        <v>0.0375</v>
      </c>
      <c r="AF239" s="16" t="n">
        <f aca="false">ROUND(S239+T239+U239+V239-W239,2)</f>
        <v>0</v>
      </c>
      <c r="AG239" s="16" t="n">
        <f aca="false">ROUND(X239-W239-Y239,2)</f>
        <v>0</v>
      </c>
    </row>
    <row r="240" customFormat="false" ht="15" hidden="false" customHeight="false" outlineLevel="0" collapsed="false">
      <c r="A240" s="13" t="s">
        <v>217</v>
      </c>
      <c r="B240" s="13" t="s">
        <v>277</v>
      </c>
      <c r="C240" s="13" t="s">
        <v>246</v>
      </c>
      <c r="D240" s="13" t="s">
        <v>289</v>
      </c>
      <c r="E240" s="14" t="n">
        <v>472</v>
      </c>
      <c r="F240" s="14" t="n">
        <v>119</v>
      </c>
      <c r="G240" s="14" t="n">
        <v>56.168</v>
      </c>
      <c r="H240" s="14" t="n">
        <v>1</v>
      </c>
      <c r="I240" s="14"/>
      <c r="J240" s="14" t="n">
        <v>73.14</v>
      </c>
      <c r="K240" s="14" t="n">
        <v>127.83</v>
      </c>
      <c r="L240" s="14" t="n">
        <v>1.89</v>
      </c>
      <c r="M240" s="14" t="n">
        <v>9.45</v>
      </c>
      <c r="N240" s="14" t="n">
        <v>7</v>
      </c>
      <c r="O240" s="14"/>
      <c r="P240" s="14" t="n">
        <v>1</v>
      </c>
      <c r="Q240" s="14"/>
      <c r="R240" s="14" t="n">
        <v>0.52</v>
      </c>
      <c r="S240" s="14" t="n">
        <v>147.69</v>
      </c>
      <c r="T240" s="14" t="n">
        <v>0.9</v>
      </c>
      <c r="U240" s="14" t="n">
        <v>10.65</v>
      </c>
      <c r="V240" s="14" t="n">
        <v>18.7</v>
      </c>
      <c r="W240" s="14" t="n">
        <v>177.94</v>
      </c>
      <c r="X240" s="14" t="n">
        <v>238.92</v>
      </c>
      <c r="Y240" s="14" t="n">
        <v>60.98</v>
      </c>
      <c r="Z240" s="14" t="n">
        <v>33.79</v>
      </c>
      <c r="AA240" s="14" t="n">
        <v>0.17</v>
      </c>
      <c r="AB240" s="14" t="n">
        <v>0</v>
      </c>
      <c r="AC240" s="14" t="n">
        <v>0.29</v>
      </c>
      <c r="AD240" s="15" t="n">
        <f aca="false">H240*E240/1000</f>
        <v>0.472</v>
      </c>
      <c r="AE240" s="15" t="n">
        <f aca="false">I240*E240/1000</f>
        <v>0</v>
      </c>
      <c r="AF240" s="16" t="n">
        <f aca="false">ROUND(S240+T240+U240+V240-W240,2)</f>
        <v>0</v>
      </c>
      <c r="AG240" s="16" t="n">
        <f aca="false">ROUND(X240-W240-Y240,2)</f>
        <v>0</v>
      </c>
    </row>
    <row r="241" customFormat="false" ht="15" hidden="false" customHeight="false" outlineLevel="0" collapsed="false">
      <c r="A241" s="13" t="s">
        <v>217</v>
      </c>
      <c r="B241" s="13" t="s">
        <v>277</v>
      </c>
      <c r="C241" s="13" t="s">
        <v>246</v>
      </c>
      <c r="D241" s="13" t="s">
        <v>253</v>
      </c>
      <c r="E241" s="14" t="n">
        <v>32.7</v>
      </c>
      <c r="F241" s="14" t="n">
        <v>152</v>
      </c>
      <c r="G241" s="14" t="n">
        <v>4.9704</v>
      </c>
      <c r="H241" s="14" t="n">
        <v>7</v>
      </c>
      <c r="I241" s="14"/>
      <c r="J241" s="14" t="n">
        <v>60.61</v>
      </c>
      <c r="K241" s="14" t="n">
        <v>129.2</v>
      </c>
      <c r="L241" s="14" t="n">
        <v>2.28</v>
      </c>
      <c r="M241" s="14" t="n">
        <v>10.92</v>
      </c>
      <c r="N241" s="14" t="n">
        <v>4.93</v>
      </c>
      <c r="O241" s="14" t="n">
        <v>0.59</v>
      </c>
      <c r="P241" s="14" t="n">
        <v>1</v>
      </c>
      <c r="Q241" s="14"/>
      <c r="R241" s="14" t="n">
        <v>1.1</v>
      </c>
      <c r="S241" s="14" t="n">
        <v>150.01</v>
      </c>
      <c r="T241" s="14" t="n">
        <v>0.9</v>
      </c>
      <c r="U241" s="14" t="n">
        <v>10.65</v>
      </c>
      <c r="V241" s="14" t="n">
        <v>20.57</v>
      </c>
      <c r="W241" s="14" t="n">
        <v>182.13</v>
      </c>
      <c r="X241" s="14" t="n">
        <v>235.05</v>
      </c>
      <c r="Y241" s="14" t="n">
        <v>52.92</v>
      </c>
      <c r="Z241" s="14" t="n">
        <v>2.41</v>
      </c>
      <c r="AA241" s="14" t="n">
        <v>0.09</v>
      </c>
      <c r="AB241" s="14" t="n">
        <v>0</v>
      </c>
      <c r="AC241" s="14" t="n">
        <v>0.12</v>
      </c>
      <c r="AD241" s="15" t="n">
        <f aca="false">H241*E241/1000</f>
        <v>0.2289</v>
      </c>
      <c r="AE241" s="15" t="n">
        <f aca="false">I241*E241/1000</f>
        <v>0</v>
      </c>
      <c r="AF241" s="16" t="n">
        <f aca="false">ROUND(S241+T241+U241+V241-W241,2)</f>
        <v>0</v>
      </c>
      <c r="AG241" s="16" t="n">
        <f aca="false">ROUND(X241-W241-Y241,2)</f>
        <v>0</v>
      </c>
    </row>
    <row r="242" customFormat="false" ht="15" hidden="false" customHeight="false" outlineLevel="0" collapsed="false">
      <c r="A242" s="13" t="s">
        <v>217</v>
      </c>
      <c r="B242" s="13" t="s">
        <v>291</v>
      </c>
      <c r="C242" s="13" t="s">
        <v>219</v>
      </c>
      <c r="D242" s="13" t="s">
        <v>231</v>
      </c>
      <c r="E242" s="14" t="n">
        <v>26.17</v>
      </c>
      <c r="F242" s="14" t="n">
        <v>1050</v>
      </c>
      <c r="G242" s="14" t="n">
        <v>27.48</v>
      </c>
      <c r="H242" s="14" t="n">
        <v>17</v>
      </c>
      <c r="I242" s="14" t="n">
        <v>1</v>
      </c>
      <c r="J242" s="14" t="n">
        <v>65.78</v>
      </c>
      <c r="K242" s="14" t="n">
        <v>128.22</v>
      </c>
      <c r="L242" s="14" t="n">
        <v>2.1</v>
      </c>
      <c r="M242" s="14" t="n">
        <v>14.62</v>
      </c>
      <c r="N242" s="14" t="n">
        <v>4.93</v>
      </c>
      <c r="O242" s="14" t="n">
        <v>0.59</v>
      </c>
      <c r="P242" s="14" t="n">
        <v>1.5</v>
      </c>
      <c r="Q242" s="14"/>
      <c r="R242" s="14" t="n">
        <v>1.4</v>
      </c>
      <c r="S242" s="14" t="n">
        <v>153.35</v>
      </c>
      <c r="T242" s="14" t="n">
        <v>0.9</v>
      </c>
      <c r="U242" s="14" t="n">
        <v>10</v>
      </c>
      <c r="V242" s="14" t="n">
        <v>19.13</v>
      </c>
      <c r="W242" s="14" t="n">
        <v>183.37</v>
      </c>
      <c r="X242" s="14" t="n">
        <v>239.49</v>
      </c>
      <c r="Y242" s="14" t="n">
        <v>56.12</v>
      </c>
      <c r="Z242" s="14" t="n">
        <v>14.94</v>
      </c>
      <c r="AA242" s="14" t="n">
        <v>0.2</v>
      </c>
      <c r="AB242" s="14" t="n">
        <v>0.02</v>
      </c>
      <c r="AC242" s="14" t="n">
        <v>0.26</v>
      </c>
      <c r="AD242" s="15" t="n">
        <f aca="false">H242*E242/1000</f>
        <v>0.44489</v>
      </c>
      <c r="AE242" s="15" t="n">
        <f aca="false">I242*E242/1000</f>
        <v>0.02617</v>
      </c>
      <c r="AF242" s="16" t="n">
        <f aca="false">ROUND(S242+T242+U242+V242-W242,2)</f>
        <v>0.01</v>
      </c>
      <c r="AG242" s="16" t="n">
        <f aca="false">ROUND(X242-W242-Y242,2)</f>
        <v>0</v>
      </c>
    </row>
    <row r="243" customFormat="false" ht="15" hidden="false" customHeight="false" outlineLevel="0" collapsed="false">
      <c r="A243" s="13" t="s">
        <v>217</v>
      </c>
      <c r="B243" s="13" t="s">
        <v>291</v>
      </c>
      <c r="C243" s="13" t="s">
        <v>219</v>
      </c>
      <c r="D243" s="13" t="s">
        <v>230</v>
      </c>
      <c r="E243" s="14" t="n">
        <v>34.5</v>
      </c>
      <c r="F243" s="14" t="n">
        <v>1068</v>
      </c>
      <c r="G243" s="14" t="n">
        <v>36.85</v>
      </c>
      <c r="H243" s="14" t="n">
        <v>43</v>
      </c>
      <c r="I243" s="14" t="n">
        <v>2</v>
      </c>
      <c r="J243" s="14" t="n">
        <v>69.03</v>
      </c>
      <c r="K243" s="14" t="n">
        <v>127.79</v>
      </c>
      <c r="L243" s="14" t="n">
        <v>2</v>
      </c>
      <c r="M243" s="14" t="n">
        <v>12.45</v>
      </c>
      <c r="N243" s="14" t="n">
        <v>4.93</v>
      </c>
      <c r="O243" s="14" t="n">
        <v>0.59</v>
      </c>
      <c r="P243" s="14" t="n">
        <v>1</v>
      </c>
      <c r="Q243" s="14"/>
      <c r="R243" s="14" t="n">
        <v>1.4</v>
      </c>
      <c r="S243" s="14" t="n">
        <v>150.16</v>
      </c>
      <c r="T243" s="14" t="n">
        <v>0.9</v>
      </c>
      <c r="U243" s="14" t="n">
        <v>10</v>
      </c>
      <c r="V243" s="14" t="n">
        <v>18.67</v>
      </c>
      <c r="W243" s="14" t="n">
        <v>179.73</v>
      </c>
      <c r="X243" s="14" t="n">
        <v>239.49</v>
      </c>
      <c r="Y243" s="14" t="n">
        <v>59.76</v>
      </c>
      <c r="Z243" s="14" t="n">
        <v>20.44</v>
      </c>
      <c r="AA243" s="14" t="n">
        <v>0.61</v>
      </c>
      <c r="AB243" s="14" t="n">
        <v>0.04</v>
      </c>
      <c r="AC243" s="14" t="n">
        <v>0.93</v>
      </c>
      <c r="AD243" s="15" t="n">
        <f aca="false">H243*E243/1000</f>
        <v>1.4835</v>
      </c>
      <c r="AE243" s="15" t="n">
        <f aca="false">I243*E243/1000</f>
        <v>0.069</v>
      </c>
      <c r="AF243" s="16" t="n">
        <f aca="false">ROUND(S243+T243+U243+V243-W243,2)</f>
        <v>0</v>
      </c>
      <c r="AG243" s="16" t="n">
        <f aca="false">ROUND(X243-W243-Y243,2)</f>
        <v>0</v>
      </c>
    </row>
    <row r="244" customFormat="false" ht="15" hidden="false" customHeight="false" outlineLevel="0" collapsed="false">
      <c r="A244" s="13" t="s">
        <v>217</v>
      </c>
      <c r="B244" s="13" t="s">
        <v>291</v>
      </c>
      <c r="C244" s="13" t="s">
        <v>219</v>
      </c>
      <c r="D244" s="13" t="s">
        <v>260</v>
      </c>
      <c r="E244" s="14" t="n">
        <v>22.8</v>
      </c>
      <c r="F244" s="14" t="n">
        <v>180</v>
      </c>
      <c r="G244" s="14" t="n">
        <v>4.1</v>
      </c>
      <c r="H244" s="14" t="n">
        <v>1</v>
      </c>
      <c r="I244" s="14"/>
      <c r="J244" s="14" t="n">
        <v>64.48</v>
      </c>
      <c r="K244" s="14" t="n">
        <v>128.4</v>
      </c>
      <c r="L244" s="14" t="n">
        <v>2.14</v>
      </c>
      <c r="M244" s="14" t="n">
        <v>14.29</v>
      </c>
      <c r="N244" s="14" t="n">
        <v>4.93</v>
      </c>
      <c r="O244" s="14" t="n">
        <v>0.59</v>
      </c>
      <c r="P244" s="14" t="n">
        <v>1</v>
      </c>
      <c r="Q244" s="14"/>
      <c r="R244" s="14" t="n">
        <v>1.1</v>
      </c>
      <c r="S244" s="14" t="n">
        <v>152.44</v>
      </c>
      <c r="T244" s="14" t="n">
        <v>0.9</v>
      </c>
      <c r="U244" s="14" t="n">
        <v>10</v>
      </c>
      <c r="V244" s="14" t="n">
        <v>19.32</v>
      </c>
      <c r="W244" s="14" t="n">
        <v>182.67</v>
      </c>
      <c r="X244" s="14" t="n">
        <v>239.49</v>
      </c>
      <c r="Y244" s="14" t="n">
        <v>56.82</v>
      </c>
      <c r="Z244" s="14" t="n">
        <v>2.31</v>
      </c>
      <c r="AA244" s="14" t="n">
        <v>0.01</v>
      </c>
      <c r="AB244" s="14" t="n">
        <v>0</v>
      </c>
      <c r="AC244" s="14" t="n">
        <v>0.01</v>
      </c>
      <c r="AD244" s="15" t="n">
        <f aca="false">H244*E244/1000</f>
        <v>0.0228</v>
      </c>
      <c r="AE244" s="15" t="n">
        <f aca="false">I244*E244/1000</f>
        <v>0</v>
      </c>
      <c r="AF244" s="16" t="n">
        <f aca="false">ROUND(S244+T244+U244+V244-W244,2)</f>
        <v>-0.01</v>
      </c>
      <c r="AG244" s="16" t="n">
        <f aca="false">ROUND(X244-W244-Y244,2)</f>
        <v>0</v>
      </c>
    </row>
    <row r="245" customFormat="false" ht="15" hidden="false" customHeight="false" outlineLevel="0" collapsed="false">
      <c r="A245" s="13" t="s">
        <v>217</v>
      </c>
      <c r="B245" s="13" t="s">
        <v>291</v>
      </c>
      <c r="C245" s="13" t="s">
        <v>219</v>
      </c>
      <c r="D245" s="13" t="s">
        <v>261</v>
      </c>
      <c r="E245" s="14" t="n">
        <v>21.6</v>
      </c>
      <c r="F245" s="14" t="n">
        <v>96</v>
      </c>
      <c r="G245" s="14" t="n">
        <v>2.07</v>
      </c>
      <c r="H245" s="14" t="n">
        <v>6</v>
      </c>
      <c r="I245" s="14"/>
      <c r="J245" s="14" t="n">
        <v>61.98</v>
      </c>
      <c r="K245" s="14" t="n">
        <v>128.77</v>
      </c>
      <c r="L245" s="14" t="n">
        <v>2.23</v>
      </c>
      <c r="M245" s="14" t="n">
        <v>15.29</v>
      </c>
      <c r="N245" s="14" t="n">
        <v>4.93</v>
      </c>
      <c r="O245" s="14" t="n">
        <v>0.59</v>
      </c>
      <c r="P245" s="14" t="n">
        <v>1</v>
      </c>
      <c r="Q245" s="14"/>
      <c r="R245" s="14" t="n">
        <v>1.1</v>
      </c>
      <c r="S245" s="14" t="n">
        <v>153.9</v>
      </c>
      <c r="T245" s="14" t="n">
        <v>0.9</v>
      </c>
      <c r="U245" s="14" t="n">
        <v>10</v>
      </c>
      <c r="V245" s="14" t="n">
        <v>19.73</v>
      </c>
      <c r="W245" s="14" t="n">
        <v>184.53</v>
      </c>
      <c r="X245" s="14" t="n">
        <v>239.49</v>
      </c>
      <c r="Y245" s="14" t="n">
        <v>54.96</v>
      </c>
      <c r="Z245" s="14" t="n">
        <v>1.01</v>
      </c>
      <c r="AA245" s="14" t="n">
        <v>0.06</v>
      </c>
      <c r="AB245" s="14" t="n">
        <v>0</v>
      </c>
      <c r="AC245" s="14" t="n">
        <v>0.07</v>
      </c>
      <c r="AD245" s="15" t="n">
        <f aca="false">H245*E245/1000</f>
        <v>0.1296</v>
      </c>
      <c r="AE245" s="15" t="n">
        <f aca="false">I245*E245/1000</f>
        <v>0</v>
      </c>
      <c r="AF245" s="16" t="n">
        <f aca="false">ROUND(S245+T245+U245+V245-W245,2)</f>
        <v>0</v>
      </c>
      <c r="AG245" s="16" t="n">
        <f aca="false">ROUND(X245-W245-Y245,2)</f>
        <v>0</v>
      </c>
    </row>
    <row r="246" customFormat="false" ht="15" hidden="false" customHeight="false" outlineLevel="0" collapsed="false">
      <c r="A246" s="13" t="s">
        <v>217</v>
      </c>
      <c r="B246" s="13" t="s">
        <v>291</v>
      </c>
      <c r="C246" s="13" t="s">
        <v>219</v>
      </c>
      <c r="D246" s="13" t="s">
        <v>232</v>
      </c>
      <c r="E246" s="14" t="n">
        <v>50.15</v>
      </c>
      <c r="F246" s="14" t="n">
        <v>42</v>
      </c>
      <c r="G246" s="14" t="n">
        <v>2.11</v>
      </c>
      <c r="H246" s="14"/>
      <c r="I246" s="14"/>
      <c r="J246" s="14" t="n">
        <v>67.99</v>
      </c>
      <c r="K246" s="14" t="n">
        <v>127.92</v>
      </c>
      <c r="L246" s="14" t="n">
        <v>2.03</v>
      </c>
      <c r="M246" s="14" t="n">
        <v>9.76</v>
      </c>
      <c r="N246" s="14" t="n">
        <v>4.93</v>
      </c>
      <c r="O246" s="14" t="n">
        <v>0.59</v>
      </c>
      <c r="P246" s="14" t="n">
        <v>1</v>
      </c>
      <c r="Q246" s="14"/>
      <c r="R246" s="14" t="n">
        <v>1.1</v>
      </c>
      <c r="S246" s="14" t="n">
        <v>147.33</v>
      </c>
      <c r="T246" s="14" t="n">
        <v>0.9</v>
      </c>
      <c r="U246" s="14" t="n">
        <v>10</v>
      </c>
      <c r="V246" s="14" t="n">
        <v>18.81</v>
      </c>
      <c r="W246" s="14" t="n">
        <v>177.04</v>
      </c>
      <c r="X246" s="14" t="n">
        <v>239.49</v>
      </c>
      <c r="Y246" s="14" t="n">
        <v>62.45</v>
      </c>
      <c r="Z246" s="14" t="n">
        <v>1.32</v>
      </c>
      <c r="AA246" s="14" t="n">
        <v>0</v>
      </c>
      <c r="AB246" s="14" t="n">
        <v>0</v>
      </c>
      <c r="AC246" s="14" t="n">
        <v>0</v>
      </c>
      <c r="AD246" s="15" t="n">
        <f aca="false">H246*E246/1000</f>
        <v>0</v>
      </c>
      <c r="AE246" s="15" t="n">
        <f aca="false">I246*E246/1000</f>
        <v>0</v>
      </c>
      <c r="AF246" s="16" t="n">
        <f aca="false">ROUND(S246+T246+U246+V246-W246,2)</f>
        <v>0</v>
      </c>
      <c r="AG246" s="16" t="n">
        <f aca="false">ROUND(X246-W246-Y246,2)</f>
        <v>0</v>
      </c>
    </row>
    <row r="247" customFormat="false" ht="15" hidden="false" customHeight="false" outlineLevel="0" collapsed="false">
      <c r="A247" s="13" t="s">
        <v>217</v>
      </c>
      <c r="B247" s="13" t="s">
        <v>291</v>
      </c>
      <c r="C247" s="13" t="s">
        <v>219</v>
      </c>
      <c r="D247" s="13" t="s">
        <v>244</v>
      </c>
      <c r="E247" s="14" t="n">
        <v>37.5</v>
      </c>
      <c r="F247" s="14" t="n">
        <v>192</v>
      </c>
      <c r="G247" s="14" t="n">
        <v>7.2</v>
      </c>
      <c r="H247" s="14"/>
      <c r="I247" s="14"/>
      <c r="J247" s="14" t="n">
        <v>62.75</v>
      </c>
      <c r="K247" s="14" t="n">
        <v>128.66</v>
      </c>
      <c r="L247" s="14" t="n">
        <v>2.2</v>
      </c>
      <c r="M247" s="14" t="n">
        <v>10.12</v>
      </c>
      <c r="N247" s="14" t="n">
        <v>4.93</v>
      </c>
      <c r="O247" s="14" t="n">
        <v>0.59</v>
      </c>
      <c r="P247" s="14" t="n">
        <v>1</v>
      </c>
      <c r="Q247" s="14"/>
      <c r="R247" s="14" t="n">
        <v>1.1</v>
      </c>
      <c r="S247" s="14" t="n">
        <v>148.59</v>
      </c>
      <c r="T247" s="14" t="n">
        <v>0.9</v>
      </c>
      <c r="U247" s="14" t="n">
        <v>10</v>
      </c>
      <c r="V247" s="14" t="n">
        <v>19.6</v>
      </c>
      <c r="W247" s="14" t="n">
        <v>179.09</v>
      </c>
      <c r="X247" s="14" t="n">
        <v>239.49</v>
      </c>
      <c r="Y247" s="14" t="n">
        <v>60.4</v>
      </c>
      <c r="Z247" s="14" t="n">
        <v>4.35</v>
      </c>
      <c r="AA247" s="14" t="n">
        <v>0</v>
      </c>
      <c r="AB247" s="14" t="n">
        <v>0</v>
      </c>
      <c r="AC247" s="14" t="n">
        <v>0</v>
      </c>
      <c r="AD247" s="15" t="n">
        <f aca="false">H247*E247/1000</f>
        <v>0</v>
      </c>
      <c r="AE247" s="15" t="n">
        <f aca="false">I247*E247/1000</f>
        <v>0</v>
      </c>
      <c r="AF247" s="16" t="n">
        <f aca="false">ROUND(S247+T247+U247+V247-W247,2)</f>
        <v>0</v>
      </c>
      <c r="AG247" s="16" t="n">
        <f aca="false">ROUND(X247-W247-Y247,2)</f>
        <v>0</v>
      </c>
    </row>
    <row r="248" customFormat="false" ht="15" hidden="false" customHeight="false" outlineLevel="0" collapsed="false">
      <c r="A248" s="13" t="s">
        <v>217</v>
      </c>
      <c r="B248" s="13" t="s">
        <v>291</v>
      </c>
      <c r="C248" s="13" t="s">
        <v>219</v>
      </c>
      <c r="D248" s="13" t="s">
        <v>289</v>
      </c>
      <c r="E248" s="14" t="n">
        <v>472</v>
      </c>
      <c r="F248" s="14" t="n">
        <v>76</v>
      </c>
      <c r="G248" s="14" t="n">
        <v>35.872</v>
      </c>
      <c r="H248" s="14" t="n">
        <v>0</v>
      </c>
      <c r="I248" s="14" t="n">
        <v>6</v>
      </c>
      <c r="J248" s="14" t="n">
        <v>73.14</v>
      </c>
      <c r="K248" s="14" t="n">
        <v>127.31</v>
      </c>
      <c r="L248" s="14" t="n">
        <v>1.89</v>
      </c>
      <c r="M248" s="14" t="n">
        <v>9.45</v>
      </c>
      <c r="N248" s="14" t="n">
        <v>7</v>
      </c>
      <c r="O248" s="14"/>
      <c r="P248" s="14" t="n">
        <v>1</v>
      </c>
      <c r="Q248" s="14"/>
      <c r="R248" s="14" t="n">
        <v>0.52</v>
      </c>
      <c r="S248" s="14" t="n">
        <v>147.16</v>
      </c>
      <c r="T248" s="14" t="n">
        <v>0.9</v>
      </c>
      <c r="U248" s="14" t="n">
        <v>10</v>
      </c>
      <c r="V248" s="14" t="n">
        <v>18.15</v>
      </c>
      <c r="W248" s="14" t="n">
        <v>176.21</v>
      </c>
      <c r="X248" s="14" t="n">
        <v>238.92</v>
      </c>
      <c r="Y248" s="14" t="n">
        <v>62.71</v>
      </c>
      <c r="Z248" s="14" t="n">
        <v>19.14</v>
      </c>
      <c r="AA248" s="14" t="n">
        <v>0</v>
      </c>
      <c r="AB248" s="14" t="n">
        <v>1.58</v>
      </c>
      <c r="AC248" s="14" t="n">
        <v>1.78</v>
      </c>
      <c r="AD248" s="15" t="n">
        <f aca="false">H248*E248/1000</f>
        <v>0</v>
      </c>
      <c r="AE248" s="15" t="n">
        <f aca="false">I248*E248/1000</f>
        <v>2.832</v>
      </c>
      <c r="AF248" s="16" t="n">
        <f aca="false">ROUND(S248+T248+U248+V248-W248,2)</f>
        <v>0</v>
      </c>
      <c r="AG248" s="16" t="n">
        <f aca="false">ROUND(X248-W248-Y248,2)</f>
        <v>0</v>
      </c>
    </row>
    <row r="249" customFormat="false" ht="15" hidden="false" customHeight="false" outlineLevel="0" collapsed="false">
      <c r="A249" s="13" t="s">
        <v>217</v>
      </c>
      <c r="B249" s="13" t="s">
        <v>291</v>
      </c>
      <c r="C249" s="13" t="s">
        <v>219</v>
      </c>
      <c r="D249" s="13" t="s">
        <v>262</v>
      </c>
      <c r="E249" s="14" t="n">
        <v>47.33</v>
      </c>
      <c r="F249" s="14" t="n">
        <v>51</v>
      </c>
      <c r="G249" s="14" t="n">
        <v>2</v>
      </c>
      <c r="H249" s="14"/>
      <c r="I249" s="14"/>
      <c r="J249" s="14" t="n">
        <v>67.25</v>
      </c>
      <c r="K249" s="14" t="n">
        <v>128.02</v>
      </c>
      <c r="L249" s="14" t="n">
        <v>2.05</v>
      </c>
      <c r="M249" s="14" t="n">
        <v>12.47</v>
      </c>
      <c r="N249" s="14" t="n">
        <v>4.93</v>
      </c>
      <c r="O249" s="14" t="n">
        <v>0.59</v>
      </c>
      <c r="P249" s="14" t="n">
        <v>1</v>
      </c>
      <c r="Q249" s="14"/>
      <c r="R249" s="14" t="n">
        <v>1.1</v>
      </c>
      <c r="S249" s="14" t="n">
        <v>150.16</v>
      </c>
      <c r="T249" s="14" t="n">
        <v>0.9</v>
      </c>
      <c r="U249" s="14" t="n">
        <v>10</v>
      </c>
      <c r="V249" s="14" t="n">
        <v>18.91</v>
      </c>
      <c r="W249" s="14" t="n">
        <v>179.97</v>
      </c>
      <c r="X249" s="14" t="n">
        <v>239.49</v>
      </c>
      <c r="Y249" s="14" t="n">
        <v>59.52</v>
      </c>
      <c r="Z249" s="14" t="n">
        <v>1.44</v>
      </c>
      <c r="AA249" s="14" t="n">
        <v>0</v>
      </c>
      <c r="AB249" s="14" t="n">
        <v>0</v>
      </c>
      <c r="AC249" s="14" t="n">
        <v>0</v>
      </c>
      <c r="AD249" s="15" t="n">
        <f aca="false">H249*E249/1000</f>
        <v>0</v>
      </c>
      <c r="AE249" s="15" t="n">
        <f aca="false">I249*E249/1000</f>
        <v>0</v>
      </c>
      <c r="AF249" s="16" t="n">
        <f aca="false">ROUND(S249+T249+U249+V249-W249,2)</f>
        <v>0</v>
      </c>
      <c r="AG249" s="16" t="n">
        <f aca="false">ROUND(X249-W249-Y249,2)</f>
        <v>0</v>
      </c>
    </row>
    <row r="250" customFormat="false" ht="15" hidden="false" customHeight="false" outlineLevel="0" collapsed="false">
      <c r="A250" s="13" t="s">
        <v>217</v>
      </c>
      <c r="B250" s="13" t="s">
        <v>291</v>
      </c>
      <c r="C250" s="13" t="s">
        <v>226</v>
      </c>
      <c r="D250" s="13" t="s">
        <v>231</v>
      </c>
      <c r="E250" s="14" t="n">
        <v>26.17</v>
      </c>
      <c r="F250" s="14" t="n">
        <v>24</v>
      </c>
      <c r="G250" s="14" t="n">
        <v>0.63</v>
      </c>
      <c r="H250" s="14" t="n">
        <v>1</v>
      </c>
      <c r="I250" s="14"/>
      <c r="J250" s="14" t="n">
        <v>65.78</v>
      </c>
      <c r="K250" s="14" t="n">
        <v>126.41</v>
      </c>
      <c r="L250" s="14" t="n">
        <v>2.05</v>
      </c>
      <c r="M250" s="14" t="n">
        <v>16.98</v>
      </c>
      <c r="N250" s="14" t="n">
        <v>4.2</v>
      </c>
      <c r="O250" s="14" t="n">
        <v>0.59</v>
      </c>
      <c r="P250" s="14" t="n">
        <v>1.5</v>
      </c>
      <c r="Q250" s="14"/>
      <c r="R250" s="14" t="n">
        <v>1.4</v>
      </c>
      <c r="S250" s="14" t="n">
        <v>153.12</v>
      </c>
      <c r="T250" s="14" t="n">
        <v>0.9</v>
      </c>
      <c r="U250" s="14" t="n">
        <v>10</v>
      </c>
      <c r="V250" s="14" t="n">
        <v>19.13</v>
      </c>
      <c r="W250" s="14" t="n">
        <v>183.15</v>
      </c>
      <c r="X250" s="14" t="n">
        <v>239.49</v>
      </c>
      <c r="Y250" s="14" t="n">
        <v>56.34</v>
      </c>
      <c r="Z250" s="14" t="n">
        <v>0.33</v>
      </c>
      <c r="AA250" s="14" t="n">
        <v>0.01</v>
      </c>
      <c r="AB250" s="14" t="n">
        <v>0</v>
      </c>
      <c r="AC250" s="14" t="n">
        <v>0.01</v>
      </c>
      <c r="AD250" s="15" t="n">
        <f aca="false">H250*E250/1000</f>
        <v>0.02617</v>
      </c>
      <c r="AE250" s="15" t="n">
        <f aca="false">I250*E250/1000</f>
        <v>0</v>
      </c>
      <c r="AF250" s="16" t="n">
        <f aca="false">ROUND(S250+T250+U250+V250-W250,2)</f>
        <v>0</v>
      </c>
      <c r="AG250" s="16" t="n">
        <f aca="false">ROUND(X250-W250-Y250,2)</f>
        <v>0</v>
      </c>
    </row>
    <row r="251" customFormat="false" ht="15" hidden="false" customHeight="false" outlineLevel="0" collapsed="false">
      <c r="A251" s="13" t="s">
        <v>217</v>
      </c>
      <c r="B251" s="13" t="s">
        <v>291</v>
      </c>
      <c r="C251" s="13" t="s">
        <v>226</v>
      </c>
      <c r="D251" s="13" t="s">
        <v>230</v>
      </c>
      <c r="E251" s="14" t="n">
        <v>34.5</v>
      </c>
      <c r="F251" s="14" t="n">
        <v>78</v>
      </c>
      <c r="G251" s="14" t="n">
        <v>2.69</v>
      </c>
      <c r="H251" s="14" t="n">
        <v>14</v>
      </c>
      <c r="I251" s="14" t="n">
        <v>3</v>
      </c>
      <c r="J251" s="14" t="n">
        <v>69.03</v>
      </c>
      <c r="K251" s="14" t="n">
        <v>124.6</v>
      </c>
      <c r="L251" s="14" t="n">
        <v>1.96</v>
      </c>
      <c r="M251" s="14" t="n">
        <v>14.53</v>
      </c>
      <c r="N251" s="14" t="n">
        <v>4.2</v>
      </c>
      <c r="O251" s="14" t="n">
        <v>0.59</v>
      </c>
      <c r="P251" s="14" t="n">
        <v>1</v>
      </c>
      <c r="Q251" s="14"/>
      <c r="R251" s="14" t="n">
        <v>1.4</v>
      </c>
      <c r="S251" s="14" t="n">
        <v>148.28</v>
      </c>
      <c r="T251" s="14" t="n">
        <v>0.9</v>
      </c>
      <c r="U251" s="14" t="n">
        <v>10</v>
      </c>
      <c r="V251" s="14" t="n">
        <v>18.67</v>
      </c>
      <c r="W251" s="14" t="n">
        <v>177.85</v>
      </c>
      <c r="X251" s="14" t="n">
        <v>239.49</v>
      </c>
      <c r="Y251" s="14" t="n">
        <v>61.64</v>
      </c>
      <c r="Z251" s="14" t="n">
        <v>1.04</v>
      </c>
      <c r="AA251" s="14" t="n">
        <v>0.2</v>
      </c>
      <c r="AB251" s="14" t="n">
        <v>0.06</v>
      </c>
      <c r="AC251" s="14" t="n">
        <v>0.36</v>
      </c>
      <c r="AD251" s="15" t="n">
        <f aca="false">H251*E251/1000</f>
        <v>0.483</v>
      </c>
      <c r="AE251" s="15" t="n">
        <f aca="false">I251*E251/1000</f>
        <v>0.1035</v>
      </c>
      <c r="AF251" s="16" t="n">
        <f aca="false">ROUND(S251+T251+U251+V251-W251,2)</f>
        <v>0</v>
      </c>
      <c r="AG251" s="16" t="n">
        <f aca="false">ROUND(X251-W251-Y251,2)</f>
        <v>0</v>
      </c>
    </row>
    <row r="252" customFormat="false" ht="15" hidden="false" customHeight="false" outlineLevel="0" collapsed="false">
      <c r="A252" s="13" t="s">
        <v>217</v>
      </c>
      <c r="B252" s="13" t="s">
        <v>291</v>
      </c>
      <c r="C252" s="13" t="s">
        <v>226</v>
      </c>
      <c r="D252" s="13" t="s">
        <v>260</v>
      </c>
      <c r="E252" s="14" t="n">
        <v>22.8</v>
      </c>
      <c r="F252" s="14" t="n">
        <v>6</v>
      </c>
      <c r="G252" s="14" t="n">
        <v>0.14</v>
      </c>
      <c r="H252" s="14" t="n">
        <v>2</v>
      </c>
      <c r="I252" s="14" t="n">
        <v>1</v>
      </c>
      <c r="J252" s="14" t="n">
        <v>64.48</v>
      </c>
      <c r="K252" s="14" t="n">
        <v>125.09</v>
      </c>
      <c r="L252" s="14" t="n">
        <v>2.09</v>
      </c>
      <c r="M252" s="14" t="n">
        <v>16.82</v>
      </c>
      <c r="N252" s="14" t="n">
        <v>4.2</v>
      </c>
      <c r="O252" s="14" t="n">
        <v>0.59</v>
      </c>
      <c r="P252" s="14" t="n">
        <v>1</v>
      </c>
      <c r="Q252" s="14"/>
      <c r="R252" s="14" t="n">
        <v>1.1</v>
      </c>
      <c r="S252" s="14" t="n">
        <v>150.88</v>
      </c>
      <c r="T252" s="14" t="n">
        <v>0.9</v>
      </c>
      <c r="U252" s="14" t="n">
        <v>10</v>
      </c>
      <c r="V252" s="14" t="n">
        <v>19.32</v>
      </c>
      <c r="W252" s="14" t="n">
        <v>181.11</v>
      </c>
      <c r="X252" s="14" t="n">
        <v>239.49</v>
      </c>
      <c r="Y252" s="14" t="n">
        <v>58.38</v>
      </c>
      <c r="Z252" s="14" t="n">
        <v>0.01</v>
      </c>
      <c r="AA252" s="14" t="n">
        <v>0.02</v>
      </c>
      <c r="AB252" s="14" t="n">
        <v>0.01</v>
      </c>
      <c r="AC252" s="14" t="n">
        <v>0.04</v>
      </c>
      <c r="AD252" s="15" t="n">
        <f aca="false">H252*E252/1000</f>
        <v>0.0456</v>
      </c>
      <c r="AE252" s="15" t="n">
        <f aca="false">I252*E252/1000</f>
        <v>0.0228</v>
      </c>
      <c r="AF252" s="16" t="n">
        <f aca="false">ROUND(S252+T252+U252+V252-W252,2)</f>
        <v>-0.01</v>
      </c>
      <c r="AG252" s="16" t="n">
        <f aca="false">ROUND(X252-W252-Y252,2)</f>
        <v>0</v>
      </c>
    </row>
    <row r="253" customFormat="false" ht="15" hidden="false" customHeight="false" outlineLevel="0" collapsed="false">
      <c r="A253" s="13" t="s">
        <v>217</v>
      </c>
      <c r="B253" s="13" t="s">
        <v>291</v>
      </c>
      <c r="C253" s="13" t="s">
        <v>226</v>
      </c>
      <c r="D253" s="13" t="s">
        <v>232</v>
      </c>
      <c r="E253" s="14" t="n">
        <v>50.15</v>
      </c>
      <c r="F253" s="14" t="n">
        <v>66</v>
      </c>
      <c r="G253" s="14" t="n">
        <v>3.31</v>
      </c>
      <c r="H253" s="14" t="n">
        <v>10</v>
      </c>
      <c r="I253" s="14" t="n">
        <v>1</v>
      </c>
      <c r="J253" s="14" t="n">
        <v>67.99</v>
      </c>
      <c r="K253" s="14" t="n">
        <v>124.71</v>
      </c>
      <c r="L253" s="14" t="n">
        <v>1.99</v>
      </c>
      <c r="M253" s="14" t="n">
        <v>11.38</v>
      </c>
      <c r="N253" s="14" t="n">
        <v>4.2</v>
      </c>
      <c r="O253" s="14" t="n">
        <v>0.59</v>
      </c>
      <c r="P253" s="14" t="n">
        <v>1</v>
      </c>
      <c r="Q253" s="14"/>
      <c r="R253" s="14" t="n">
        <v>1.1</v>
      </c>
      <c r="S253" s="14" t="n">
        <v>144.96</v>
      </c>
      <c r="T253" s="14" t="n">
        <v>0.9</v>
      </c>
      <c r="U253" s="14" t="n">
        <v>10</v>
      </c>
      <c r="V253" s="14" t="n">
        <v>18.81</v>
      </c>
      <c r="W253" s="14" t="n">
        <v>174.67</v>
      </c>
      <c r="X253" s="14" t="n">
        <v>239.49</v>
      </c>
      <c r="Y253" s="14" t="n">
        <v>64.82</v>
      </c>
      <c r="Z253" s="14" t="n">
        <v>1.57</v>
      </c>
      <c r="AA253" s="14" t="n">
        <v>0.19</v>
      </c>
      <c r="AB253" s="14" t="n">
        <v>0.03</v>
      </c>
      <c r="AC253" s="14" t="n">
        <v>0.36</v>
      </c>
      <c r="AD253" s="15" t="n">
        <f aca="false">H253*E253/1000</f>
        <v>0.5015</v>
      </c>
      <c r="AE253" s="15" t="n">
        <f aca="false">I253*E253/1000</f>
        <v>0.05015</v>
      </c>
      <c r="AF253" s="16" t="n">
        <f aca="false">ROUND(S253+T253+U253+V253-W253,2)</f>
        <v>0</v>
      </c>
      <c r="AG253" s="16" t="n">
        <f aca="false">ROUND(X253-W253-Y253,2)</f>
        <v>0</v>
      </c>
    </row>
    <row r="254" customFormat="false" ht="15" hidden="false" customHeight="false" outlineLevel="0" collapsed="false">
      <c r="A254" s="13" t="s">
        <v>217</v>
      </c>
      <c r="B254" s="13" t="s">
        <v>291</v>
      </c>
      <c r="C254" s="13" t="s">
        <v>226</v>
      </c>
      <c r="D254" s="13" t="s">
        <v>244</v>
      </c>
      <c r="E254" s="14" t="n">
        <v>37.5</v>
      </c>
      <c r="F254" s="14" t="n">
        <v>18</v>
      </c>
      <c r="G254" s="14" t="n">
        <v>0.68</v>
      </c>
      <c r="H254" s="14" t="n">
        <v>12</v>
      </c>
      <c r="I254" s="14" t="n">
        <v>1</v>
      </c>
      <c r="J254" s="14" t="n">
        <v>62.75</v>
      </c>
      <c r="K254" s="14" t="n">
        <v>125.29</v>
      </c>
      <c r="L254" s="14" t="n">
        <v>2.15</v>
      </c>
      <c r="M254" s="14" t="n">
        <v>11.73</v>
      </c>
      <c r="N254" s="14" t="n">
        <v>4.2</v>
      </c>
      <c r="O254" s="14" t="n">
        <v>0.59</v>
      </c>
      <c r="P254" s="14" t="n">
        <v>1</v>
      </c>
      <c r="Q254" s="14"/>
      <c r="R254" s="14" t="n">
        <v>1.1</v>
      </c>
      <c r="S254" s="14" t="n">
        <v>146.05</v>
      </c>
      <c r="T254" s="14" t="n">
        <v>0.9</v>
      </c>
      <c r="U254" s="14" t="n">
        <v>10</v>
      </c>
      <c r="V254" s="14" t="n">
        <v>19.6</v>
      </c>
      <c r="W254" s="14" t="n">
        <v>176.55</v>
      </c>
      <c r="X254" s="14" t="n">
        <v>239.49</v>
      </c>
      <c r="Y254" s="14" t="n">
        <v>62.94</v>
      </c>
      <c r="Z254" s="14" t="n">
        <v>-0.08</v>
      </c>
      <c r="AA254" s="14" t="n">
        <v>0.18</v>
      </c>
      <c r="AB254" s="14" t="n">
        <v>0.02</v>
      </c>
      <c r="AC254" s="14" t="n">
        <v>0.31</v>
      </c>
      <c r="AD254" s="15" t="n">
        <f aca="false">H254*E254/1000</f>
        <v>0.45</v>
      </c>
      <c r="AE254" s="15" t="n">
        <f aca="false">I254*E254/1000</f>
        <v>0.0375</v>
      </c>
      <c r="AF254" s="16" t="n">
        <f aca="false">ROUND(S254+T254+U254+V254-W254,2)</f>
        <v>0</v>
      </c>
      <c r="AG254" s="16" t="n">
        <f aca="false">ROUND(X254-W254-Y254,2)</f>
        <v>0</v>
      </c>
    </row>
    <row r="255" customFormat="false" ht="15" hidden="false" customHeight="false" outlineLevel="0" collapsed="false">
      <c r="A255" s="13" t="s">
        <v>217</v>
      </c>
      <c r="B255" s="13" t="s">
        <v>291</v>
      </c>
      <c r="C255" s="13" t="s">
        <v>226</v>
      </c>
      <c r="D255" s="13" t="s">
        <v>289</v>
      </c>
      <c r="E255" s="14" t="n">
        <v>472</v>
      </c>
      <c r="F255" s="14" t="n">
        <v>253</v>
      </c>
      <c r="G255" s="14" t="n">
        <v>119.42</v>
      </c>
      <c r="H255" s="14" t="n">
        <v>1</v>
      </c>
      <c r="I255" s="14" t="n">
        <v>6</v>
      </c>
      <c r="J255" s="14" t="n">
        <v>73.14</v>
      </c>
      <c r="K255" s="14" t="n">
        <v>124.22</v>
      </c>
      <c r="L255" s="14" t="n">
        <v>1.85</v>
      </c>
      <c r="M255" s="14" t="n">
        <v>11.25</v>
      </c>
      <c r="N255" s="14" t="n">
        <v>4.2</v>
      </c>
      <c r="O255" s="14"/>
      <c r="P255" s="14" t="n">
        <v>1</v>
      </c>
      <c r="Q255" s="14"/>
      <c r="R255" s="14" t="n">
        <v>0.52</v>
      </c>
      <c r="S255" s="14" t="n">
        <v>143.04</v>
      </c>
      <c r="T255" s="14" t="n">
        <v>0.9</v>
      </c>
      <c r="U255" s="14" t="n">
        <v>10</v>
      </c>
      <c r="V255" s="14" t="n">
        <v>18.15</v>
      </c>
      <c r="W255" s="14" t="n">
        <v>172.08</v>
      </c>
      <c r="X255" s="14" t="n">
        <v>238.92</v>
      </c>
      <c r="Y255" s="14" t="n">
        <v>66.84</v>
      </c>
      <c r="Z255" s="14" t="n">
        <v>75.94</v>
      </c>
      <c r="AA255" s="14" t="n">
        <v>0.17</v>
      </c>
      <c r="AB255" s="14" t="n">
        <v>1.5</v>
      </c>
      <c r="AC255" s="14" t="n">
        <v>2.21</v>
      </c>
      <c r="AD255" s="15" t="n">
        <f aca="false">H255*E255/1000</f>
        <v>0.472</v>
      </c>
      <c r="AE255" s="15" t="n">
        <f aca="false">I255*E255/1000</f>
        <v>2.832</v>
      </c>
      <c r="AF255" s="16" t="n">
        <f aca="false">ROUND(S255+T255+U255+V255-W255,2)</f>
        <v>0.01</v>
      </c>
      <c r="AG255" s="16" t="n">
        <f aca="false">ROUND(X255-W255-Y255,2)</f>
        <v>0</v>
      </c>
    </row>
    <row r="256" customFormat="false" ht="15" hidden="false" customHeight="false" outlineLevel="0" collapsed="false">
      <c r="A256" s="13" t="s">
        <v>217</v>
      </c>
      <c r="B256" s="13" t="s">
        <v>291</v>
      </c>
      <c r="C256" s="13" t="s">
        <v>226</v>
      </c>
      <c r="D256" s="13" t="s">
        <v>238</v>
      </c>
      <c r="E256" s="14" t="n">
        <v>34</v>
      </c>
      <c r="F256" s="14" t="n">
        <v>52</v>
      </c>
      <c r="G256" s="14" t="n">
        <v>2</v>
      </c>
      <c r="H256" s="14" t="n">
        <v>1</v>
      </c>
      <c r="I256" s="14"/>
      <c r="J256" s="14" t="n">
        <v>66.4</v>
      </c>
      <c r="K256" s="14" t="n">
        <v>124.87</v>
      </c>
      <c r="L256" s="14" t="n">
        <v>2.03</v>
      </c>
      <c r="M256" s="14" t="n">
        <v>13.06</v>
      </c>
      <c r="N256" s="14" t="n">
        <v>4.2</v>
      </c>
      <c r="O256" s="14" t="n">
        <v>0.59</v>
      </c>
      <c r="P256" s="14" t="n">
        <v>1</v>
      </c>
      <c r="Q256" s="14"/>
      <c r="R256" s="14" t="n">
        <v>1.1</v>
      </c>
      <c r="S256" s="14" t="n">
        <v>146.86</v>
      </c>
      <c r="T256" s="14" t="n">
        <v>0.9</v>
      </c>
      <c r="U256" s="14" t="n">
        <v>10</v>
      </c>
      <c r="V256" s="14" t="n">
        <v>19.04</v>
      </c>
      <c r="W256" s="14" t="n">
        <v>176.79</v>
      </c>
      <c r="X256" s="14" t="n">
        <v>235.16</v>
      </c>
      <c r="Y256" s="14" t="n">
        <v>58.37</v>
      </c>
      <c r="Z256" s="14" t="n">
        <v>1</v>
      </c>
      <c r="AA256" s="14" t="n">
        <v>0.01</v>
      </c>
      <c r="AB256" s="14" t="n">
        <v>0</v>
      </c>
      <c r="AC256" s="14" t="n">
        <v>0.02</v>
      </c>
      <c r="AD256" s="15" t="n">
        <f aca="false">H256*E256/1000</f>
        <v>0.034</v>
      </c>
      <c r="AE256" s="15" t="n">
        <f aca="false">I256*E256/1000</f>
        <v>0</v>
      </c>
      <c r="AF256" s="16" t="n">
        <f aca="false">ROUND(S256+T256+U256+V256-W256,2)</f>
        <v>0.01</v>
      </c>
      <c r="AG256" s="16" t="n">
        <f aca="false">ROUND(X256-W256-Y256,2)</f>
        <v>0</v>
      </c>
    </row>
    <row r="257" customFormat="false" ht="15" hidden="false" customHeight="false" outlineLevel="0" collapsed="false">
      <c r="A257" s="13" t="s">
        <v>217</v>
      </c>
      <c r="B257" s="13" t="s">
        <v>291</v>
      </c>
      <c r="C257" s="13" t="s">
        <v>226</v>
      </c>
      <c r="D257" s="13" t="s">
        <v>262</v>
      </c>
      <c r="E257" s="14" t="n">
        <v>47.33</v>
      </c>
      <c r="F257" s="14" t="n">
        <v>9</v>
      </c>
      <c r="G257" s="14" t="n">
        <v>0</v>
      </c>
      <c r="H257" s="14" t="n">
        <v>10</v>
      </c>
      <c r="I257" s="14" t="n">
        <v>1</v>
      </c>
      <c r="J257" s="14" t="n">
        <v>67.25</v>
      </c>
      <c r="K257" s="14" t="n">
        <v>124.78</v>
      </c>
      <c r="L257" s="14" t="n">
        <v>2.01</v>
      </c>
      <c r="M257" s="14" t="n">
        <v>14.62</v>
      </c>
      <c r="N257" s="14" t="n">
        <v>4.2</v>
      </c>
      <c r="O257" s="14" t="n">
        <v>0.59</v>
      </c>
      <c r="P257" s="14" t="n">
        <v>1</v>
      </c>
      <c r="Q257" s="14"/>
      <c r="R257" s="14" t="n">
        <v>1.1</v>
      </c>
      <c r="S257" s="14" t="n">
        <v>148.3</v>
      </c>
      <c r="T257" s="14" t="n">
        <v>0.9</v>
      </c>
      <c r="U257" s="14" t="n">
        <v>10</v>
      </c>
      <c r="V257" s="14" t="n">
        <v>18.91</v>
      </c>
      <c r="W257" s="14" t="n">
        <v>178.11</v>
      </c>
      <c r="X257" s="14" t="n">
        <v>239.49</v>
      </c>
      <c r="Y257" s="14" t="n">
        <v>61.38</v>
      </c>
      <c r="Z257" s="14" t="n">
        <v>-0.28</v>
      </c>
      <c r="AA257" s="14" t="n">
        <v>0.2</v>
      </c>
      <c r="AB257" s="14" t="n">
        <v>0.03</v>
      </c>
      <c r="AC257" s="14" t="n">
        <v>0.32</v>
      </c>
      <c r="AD257" s="15" t="n">
        <f aca="false">H257*E257/1000</f>
        <v>0.4733</v>
      </c>
      <c r="AE257" s="15" t="n">
        <f aca="false">I257*E257/1000</f>
        <v>0.04733</v>
      </c>
      <c r="AF257" s="16" t="n">
        <f aca="false">ROUND(S257+T257+U257+V257-W257,2)</f>
        <v>0</v>
      </c>
      <c r="AG257" s="16" t="n">
        <f aca="false">ROUND(X257-W257-Y257,2)</f>
        <v>0</v>
      </c>
    </row>
    <row r="258" customFormat="false" ht="15" hidden="false" customHeight="false" outlineLevel="0" collapsed="false">
      <c r="A258" s="13" t="s">
        <v>217</v>
      </c>
      <c r="B258" s="13" t="s">
        <v>291</v>
      </c>
      <c r="C258" s="13" t="s">
        <v>226</v>
      </c>
      <c r="D258" s="13" t="s">
        <v>272</v>
      </c>
      <c r="E258" s="14" t="n">
        <v>28.5</v>
      </c>
      <c r="F258" s="14" t="n">
        <v>30</v>
      </c>
      <c r="G258" s="14" t="n">
        <v>1</v>
      </c>
      <c r="H258" s="14" t="n">
        <v>5</v>
      </c>
      <c r="I258" s="14"/>
      <c r="J258" s="14" t="n">
        <v>67.06</v>
      </c>
      <c r="K258" s="14" t="n">
        <v>124.81</v>
      </c>
      <c r="L258" s="14" t="n">
        <v>2.01</v>
      </c>
      <c r="M258" s="14" t="n">
        <v>15.23</v>
      </c>
      <c r="N258" s="14" t="n">
        <v>4.2</v>
      </c>
      <c r="O258" s="14" t="n">
        <v>0.59</v>
      </c>
      <c r="P258" s="14" t="n">
        <v>1</v>
      </c>
      <c r="Q258" s="14"/>
      <c r="R258" s="14" t="n">
        <v>1.1</v>
      </c>
      <c r="S258" s="14" t="n">
        <v>148.93</v>
      </c>
      <c r="T258" s="14" t="n">
        <v>0.9</v>
      </c>
      <c r="U258" s="14" t="n">
        <v>10</v>
      </c>
      <c r="V258" s="14" t="n">
        <v>18.94</v>
      </c>
      <c r="W258" s="14" t="n">
        <v>178.77</v>
      </c>
      <c r="X258" s="14" t="n">
        <v>235.16</v>
      </c>
      <c r="Y258" s="14" t="n">
        <v>56.39</v>
      </c>
      <c r="Z258" s="14" t="n">
        <v>0.34</v>
      </c>
      <c r="AA258" s="14" t="n">
        <v>0.06</v>
      </c>
      <c r="AB258" s="14" t="n">
        <v>0</v>
      </c>
      <c r="AC258" s="14" t="n">
        <v>0.08</v>
      </c>
      <c r="AD258" s="15" t="n">
        <f aca="false">H258*E258/1000</f>
        <v>0.1425</v>
      </c>
      <c r="AE258" s="15" t="n">
        <f aca="false">I258*E258/1000</f>
        <v>0</v>
      </c>
      <c r="AF258" s="16" t="n">
        <f aca="false">ROUND(S258+T258+U258+V258-W258,2)</f>
        <v>0</v>
      </c>
      <c r="AG258" s="16" t="n">
        <f aca="false">ROUND(X258-W258-Y258,2)</f>
        <v>0</v>
      </c>
    </row>
    <row r="259" customFormat="false" ht="15" hidden="false" customHeight="false" outlineLevel="0" collapsed="false">
      <c r="A259" s="13" t="s">
        <v>217</v>
      </c>
      <c r="B259" s="13" t="s">
        <v>291</v>
      </c>
      <c r="C259" s="13" t="s">
        <v>226</v>
      </c>
      <c r="D259" s="13" t="s">
        <v>273</v>
      </c>
      <c r="E259" s="14" t="n">
        <v>38</v>
      </c>
      <c r="F259" s="14" t="n">
        <v>28</v>
      </c>
      <c r="G259" s="14" t="n">
        <v>1</v>
      </c>
      <c r="H259" s="14" t="n">
        <v>2</v>
      </c>
      <c r="I259" s="14"/>
      <c r="J259" s="14" t="n">
        <v>70.96</v>
      </c>
      <c r="K259" s="14" t="n">
        <v>124.42</v>
      </c>
      <c r="L259" s="14" t="n">
        <v>1.9</v>
      </c>
      <c r="M259" s="14" t="n">
        <v>16.74</v>
      </c>
      <c r="N259" s="14" t="n">
        <v>4.2</v>
      </c>
      <c r="O259" s="14" t="n">
        <v>0.59</v>
      </c>
      <c r="P259" s="14" t="n">
        <v>1</v>
      </c>
      <c r="Q259" s="14"/>
      <c r="R259" s="14" t="n">
        <v>1.1</v>
      </c>
      <c r="S259" s="14" t="n">
        <v>149.95</v>
      </c>
      <c r="T259" s="14" t="n">
        <v>0.9</v>
      </c>
      <c r="U259" s="14" t="n">
        <v>10</v>
      </c>
      <c r="V259" s="14" t="n">
        <v>18.42</v>
      </c>
      <c r="W259" s="14" t="n">
        <v>179.27</v>
      </c>
      <c r="X259" s="14" t="n">
        <v>235.16</v>
      </c>
      <c r="Y259" s="14" t="n">
        <v>55.89</v>
      </c>
      <c r="Z259" s="14" t="n">
        <v>0.52</v>
      </c>
      <c r="AA259" s="14" t="n">
        <v>0.03</v>
      </c>
      <c r="AB259" s="14" t="n">
        <v>0</v>
      </c>
      <c r="AC259" s="14" t="n">
        <v>0.04</v>
      </c>
      <c r="AD259" s="15" t="n">
        <f aca="false">H259*E259/1000</f>
        <v>0.076</v>
      </c>
      <c r="AE259" s="15" t="n">
        <f aca="false">I259*E259/1000</f>
        <v>0</v>
      </c>
      <c r="AF259" s="16" t="n">
        <f aca="false">ROUND(S259+T259+U259+V259-W259,2)</f>
        <v>0</v>
      </c>
      <c r="AG259" s="16" t="n">
        <f aca="false">ROUND(X259-W259-Y259,2)</f>
        <v>0</v>
      </c>
    </row>
    <row r="260" customFormat="false" ht="15" hidden="false" customHeight="false" outlineLevel="0" collapsed="false">
      <c r="A260" s="13" t="s">
        <v>217</v>
      </c>
      <c r="B260" s="13" t="s">
        <v>291</v>
      </c>
      <c r="C260" s="13" t="s">
        <v>259</v>
      </c>
      <c r="D260" s="13" t="s">
        <v>289</v>
      </c>
      <c r="E260" s="14" t="n">
        <v>472</v>
      </c>
      <c r="F260" s="14" t="n">
        <v>130</v>
      </c>
      <c r="G260" s="14" t="n">
        <v>61.36</v>
      </c>
      <c r="H260" s="14"/>
      <c r="I260" s="14" t="n">
        <v>8</v>
      </c>
      <c r="J260" s="14" t="n">
        <v>73.14</v>
      </c>
      <c r="K260" s="14" t="n">
        <v>126.95</v>
      </c>
      <c r="L260" s="14" t="n">
        <v>1.31</v>
      </c>
      <c r="M260" s="14" t="n">
        <v>10.71</v>
      </c>
      <c r="N260" s="14" t="n">
        <v>4.2</v>
      </c>
      <c r="O260" s="14"/>
      <c r="P260" s="14" t="n">
        <v>1</v>
      </c>
      <c r="Q260" s="14"/>
      <c r="R260" s="14" t="n">
        <v>0.52</v>
      </c>
      <c r="S260" s="14" t="n">
        <v>144.69</v>
      </c>
      <c r="T260" s="14" t="n">
        <v>0.9</v>
      </c>
      <c r="U260" s="14" t="n">
        <v>10</v>
      </c>
      <c r="V260" s="14" t="n">
        <v>18.15</v>
      </c>
      <c r="W260" s="14" t="n">
        <v>173.74</v>
      </c>
      <c r="X260" s="14" t="n">
        <v>237.31</v>
      </c>
      <c r="Y260" s="14" t="n">
        <v>63.57</v>
      </c>
      <c r="Z260" s="14" t="n">
        <v>34.64</v>
      </c>
      <c r="AA260" s="14" t="n">
        <v>0</v>
      </c>
      <c r="AB260" s="14" t="n">
        <v>1.96</v>
      </c>
      <c r="AC260" s="14" t="n">
        <v>2.4</v>
      </c>
      <c r="AD260" s="15" t="n">
        <f aca="false">H260*E260/1000</f>
        <v>0</v>
      </c>
      <c r="AE260" s="15" t="n">
        <f aca="false">I260*E260/1000</f>
        <v>3.776</v>
      </c>
      <c r="AF260" s="16" t="n">
        <f aca="false">ROUND(S260+T260+U260+V260-W260,2)</f>
        <v>0</v>
      </c>
      <c r="AG260" s="16" t="n">
        <f aca="false">ROUND(X260-W260-Y260,2)</f>
        <v>0</v>
      </c>
    </row>
    <row r="261" customFormat="false" ht="15" hidden="false" customHeight="false" outlineLevel="0" collapsed="false">
      <c r="A261" s="13" t="s">
        <v>217</v>
      </c>
      <c r="B261" s="13" t="s">
        <v>291</v>
      </c>
      <c r="C261" s="13" t="s">
        <v>259</v>
      </c>
      <c r="D261" s="13" t="s">
        <v>248</v>
      </c>
      <c r="E261" s="14" t="n">
        <v>66</v>
      </c>
      <c r="F261" s="14" t="n">
        <v>282</v>
      </c>
      <c r="G261" s="14" t="n">
        <v>18.612</v>
      </c>
      <c r="H261" s="14"/>
      <c r="I261" s="14"/>
      <c r="J261" s="14" t="n">
        <v>72.22</v>
      </c>
      <c r="K261" s="14" t="n">
        <v>127.04</v>
      </c>
      <c r="L261" s="14" t="n">
        <v>1.33</v>
      </c>
      <c r="M261" s="14" t="n">
        <v>12.19</v>
      </c>
      <c r="N261" s="14" t="n">
        <v>4.93</v>
      </c>
      <c r="O261" s="14" t="n">
        <v>0.59</v>
      </c>
      <c r="P261" s="14" t="n">
        <v>1</v>
      </c>
      <c r="Q261" s="14"/>
      <c r="R261" s="14" t="n">
        <v>1.1</v>
      </c>
      <c r="S261" s="14" t="n">
        <v>148.17</v>
      </c>
      <c r="T261" s="14" t="n">
        <v>0.9</v>
      </c>
      <c r="U261" s="14" t="n">
        <v>10</v>
      </c>
      <c r="V261" s="14" t="n">
        <v>18.26</v>
      </c>
      <c r="W261" s="14" t="n">
        <v>177.33</v>
      </c>
      <c r="X261" s="14" t="n">
        <v>237.09</v>
      </c>
      <c r="Y261" s="14" t="n">
        <v>59.76</v>
      </c>
      <c r="Z261" s="14" t="n">
        <v>11.12</v>
      </c>
      <c r="AA261" s="14" t="n">
        <v>0</v>
      </c>
      <c r="AB261" s="14" t="n">
        <v>0</v>
      </c>
      <c r="AC261" s="14" t="n">
        <v>0</v>
      </c>
      <c r="AD261" s="15" t="n">
        <f aca="false">H261*E261/1000</f>
        <v>0</v>
      </c>
      <c r="AE261" s="15" t="n">
        <f aca="false">I261*E261/1000</f>
        <v>0</v>
      </c>
      <c r="AF261" s="16" t="n">
        <f aca="false">ROUND(S261+T261+U261+V261-W261,2)</f>
        <v>0</v>
      </c>
      <c r="AG261" s="16" t="n">
        <f aca="false">ROUND(X261-W261-Y261,2)</f>
        <v>0</v>
      </c>
    </row>
    <row r="262" customFormat="false" ht="15" hidden="false" customHeight="false" outlineLevel="0" collapsed="false">
      <c r="A262" s="13" t="s">
        <v>217</v>
      </c>
      <c r="B262" s="13" t="s">
        <v>291</v>
      </c>
      <c r="C262" s="13" t="s">
        <v>259</v>
      </c>
      <c r="D262" s="13" t="s">
        <v>249</v>
      </c>
      <c r="E262" s="14" t="n">
        <v>62</v>
      </c>
      <c r="F262" s="14" t="n">
        <v>27</v>
      </c>
      <c r="G262" s="14" t="n">
        <v>1.674</v>
      </c>
      <c r="H262" s="14"/>
      <c r="I262" s="14"/>
      <c r="J262" s="14" t="n">
        <v>71.79</v>
      </c>
      <c r="K262" s="14" t="n">
        <v>127.08</v>
      </c>
      <c r="L262" s="14" t="n">
        <v>1.34</v>
      </c>
      <c r="M262" s="14" t="n">
        <v>12.05</v>
      </c>
      <c r="N262" s="14" t="n">
        <v>4.93</v>
      </c>
      <c r="O262" s="14" t="n">
        <v>0.59</v>
      </c>
      <c r="P262" s="14" t="n">
        <v>1</v>
      </c>
      <c r="Q262" s="14"/>
      <c r="R262" s="14" t="n">
        <v>1.1</v>
      </c>
      <c r="S262" s="14" t="n">
        <v>148.08</v>
      </c>
      <c r="T262" s="14" t="n">
        <v>0.9</v>
      </c>
      <c r="U262" s="14" t="n">
        <v>10</v>
      </c>
      <c r="V262" s="14" t="n">
        <v>18.31</v>
      </c>
      <c r="W262" s="14" t="n">
        <v>177.29</v>
      </c>
      <c r="X262" s="14" t="n">
        <v>237.09</v>
      </c>
      <c r="Y262" s="14" t="n">
        <v>59.8</v>
      </c>
      <c r="Z262" s="14" t="n">
        <v>1</v>
      </c>
      <c r="AA262" s="14" t="n">
        <v>0</v>
      </c>
      <c r="AB262" s="14" t="n">
        <v>0</v>
      </c>
      <c r="AC262" s="14" t="n">
        <v>0</v>
      </c>
      <c r="AD262" s="15" t="n">
        <f aca="false">H262*E262/1000</f>
        <v>0</v>
      </c>
      <c r="AE262" s="15" t="n">
        <f aca="false">I262*E262/1000</f>
        <v>0</v>
      </c>
      <c r="AF262" s="16" t="n">
        <f aca="false">ROUND(S262+T262+U262+V262-W262,2)</f>
        <v>0</v>
      </c>
      <c r="AG262" s="16" t="n">
        <f aca="false">ROUND(X262-W262-Y262,2)</f>
        <v>0</v>
      </c>
    </row>
    <row r="263" customFormat="false" ht="15" hidden="false" customHeight="false" outlineLevel="0" collapsed="false">
      <c r="A263" s="13" t="s">
        <v>217</v>
      </c>
      <c r="B263" s="13" t="s">
        <v>291</v>
      </c>
      <c r="C263" s="13" t="s">
        <v>259</v>
      </c>
      <c r="D263" s="13" t="s">
        <v>250</v>
      </c>
      <c r="E263" s="14" t="n">
        <v>44.15</v>
      </c>
      <c r="F263" s="14" t="n">
        <v>8</v>
      </c>
      <c r="G263" s="14" t="n">
        <v>0.3532</v>
      </c>
      <c r="H263" s="14"/>
      <c r="I263" s="14"/>
      <c r="J263" s="14" t="n">
        <v>67.89</v>
      </c>
      <c r="K263" s="14" t="n">
        <v>127.46</v>
      </c>
      <c r="L263" s="14" t="n">
        <v>1.41</v>
      </c>
      <c r="M263" s="14" t="n">
        <v>11.84</v>
      </c>
      <c r="N263" s="14" t="n">
        <v>4.93</v>
      </c>
      <c r="O263" s="14" t="n">
        <v>0.59</v>
      </c>
      <c r="P263" s="14" t="n">
        <v>1</v>
      </c>
      <c r="Q263" s="14"/>
      <c r="R263" s="14" t="n">
        <v>1.1</v>
      </c>
      <c r="S263" s="14" t="n">
        <v>148.34</v>
      </c>
      <c r="T263" s="14" t="n">
        <v>0.9</v>
      </c>
      <c r="U263" s="14" t="n">
        <v>10</v>
      </c>
      <c r="V263" s="14" t="n">
        <v>18.82</v>
      </c>
      <c r="W263" s="14" t="n">
        <v>178.06</v>
      </c>
      <c r="X263" s="14" t="n">
        <v>237.09</v>
      </c>
      <c r="Y263" s="14" t="n">
        <v>59.03</v>
      </c>
      <c r="Z263" s="14" t="n">
        <v>0.21</v>
      </c>
      <c r="AA263" s="14" t="n">
        <v>0</v>
      </c>
      <c r="AB263" s="14" t="n">
        <v>0</v>
      </c>
      <c r="AC263" s="14" t="n">
        <v>0</v>
      </c>
      <c r="AD263" s="15" t="n">
        <f aca="false">H263*E263/1000</f>
        <v>0</v>
      </c>
      <c r="AE263" s="15" t="n">
        <f aca="false">I263*E263/1000</f>
        <v>0</v>
      </c>
      <c r="AF263" s="16" t="n">
        <f aca="false">ROUND(S263+T263+U263+V263-W263,2)</f>
        <v>0</v>
      </c>
      <c r="AG263" s="16" t="n">
        <f aca="false">ROUND(X263-W263-Y263,2)</f>
        <v>0</v>
      </c>
    </row>
    <row r="264" customFormat="false" ht="15" hidden="false" customHeight="false" outlineLevel="0" collapsed="false">
      <c r="A264" s="13" t="s">
        <v>217</v>
      </c>
      <c r="B264" s="13" t="s">
        <v>291</v>
      </c>
      <c r="C264" s="13" t="s">
        <v>263</v>
      </c>
      <c r="D264" s="13" t="s">
        <v>267</v>
      </c>
      <c r="E264" s="14" t="n">
        <v>30.35</v>
      </c>
      <c r="F264" s="14" t="n">
        <v>208</v>
      </c>
      <c r="G264" s="14" t="n">
        <v>6.31</v>
      </c>
      <c r="H264" s="14" t="n">
        <v>4</v>
      </c>
      <c r="I264" s="14"/>
      <c r="J264" s="14" t="n">
        <v>63.14</v>
      </c>
      <c r="K264" s="14" t="n">
        <v>129.54</v>
      </c>
      <c r="L264" s="14" t="n">
        <v>1.52</v>
      </c>
      <c r="M264" s="14" t="n">
        <v>16.42</v>
      </c>
      <c r="N264" s="14" t="n">
        <v>4.93</v>
      </c>
      <c r="O264" s="14" t="n">
        <v>0.59</v>
      </c>
      <c r="P264" s="14" t="n">
        <v>1.5</v>
      </c>
      <c r="Q264" s="14"/>
      <c r="R264" s="14" t="n">
        <v>1.4</v>
      </c>
      <c r="S264" s="14" t="n">
        <v>155.89</v>
      </c>
      <c r="T264" s="14" t="n">
        <v>0.9</v>
      </c>
      <c r="U264" s="14" t="n">
        <v>10</v>
      </c>
      <c r="V264" s="14" t="n">
        <v>19.54</v>
      </c>
      <c r="W264" s="14" t="n">
        <v>186.32</v>
      </c>
      <c r="X264" s="14" t="n">
        <v>236.77</v>
      </c>
      <c r="Y264" s="14" t="n">
        <v>50.45</v>
      </c>
      <c r="Z264" s="14" t="n">
        <v>3.07</v>
      </c>
      <c r="AA264" s="14" t="n">
        <v>0.05</v>
      </c>
      <c r="AB264" s="14" t="n">
        <v>0</v>
      </c>
      <c r="AC264" s="14" t="n">
        <v>0.06</v>
      </c>
      <c r="AD264" s="15" t="n">
        <f aca="false">H264*E264/1000</f>
        <v>0.1214</v>
      </c>
      <c r="AE264" s="15" t="n">
        <f aca="false">I264*E264/1000</f>
        <v>0</v>
      </c>
      <c r="AF264" s="16" t="n">
        <f aca="false">ROUND(S264+T264+U264+V264-W264,2)</f>
        <v>0.01</v>
      </c>
      <c r="AG264" s="16" t="n">
        <f aca="false">ROUND(X264-W264-Y264,2)</f>
        <v>0</v>
      </c>
    </row>
    <row r="265" customFormat="false" ht="15" hidden="false" customHeight="false" outlineLevel="0" collapsed="false">
      <c r="A265" s="13" t="s">
        <v>217</v>
      </c>
      <c r="B265" s="13" t="s">
        <v>291</v>
      </c>
      <c r="C265" s="13" t="s">
        <v>263</v>
      </c>
      <c r="D265" s="13" t="s">
        <v>265</v>
      </c>
      <c r="E265" s="14" t="n">
        <v>17</v>
      </c>
      <c r="F265" s="14" t="n">
        <v>664</v>
      </c>
      <c r="G265" s="14" t="n">
        <v>11.29</v>
      </c>
      <c r="H265" s="14" t="n">
        <v>13</v>
      </c>
      <c r="I265" s="14" t="n">
        <v>1</v>
      </c>
      <c r="J265" s="14" t="n">
        <v>63.19</v>
      </c>
      <c r="K265" s="14" t="n">
        <v>129.53</v>
      </c>
      <c r="L265" s="14" t="n">
        <v>1.52</v>
      </c>
      <c r="M265" s="14" t="n">
        <v>20.25</v>
      </c>
      <c r="N265" s="14" t="n">
        <v>4.93</v>
      </c>
      <c r="O265" s="14" t="n">
        <v>0.59</v>
      </c>
      <c r="P265" s="14" t="n">
        <v>1.5</v>
      </c>
      <c r="Q265" s="14"/>
      <c r="R265" s="14" t="n">
        <v>1.4</v>
      </c>
      <c r="S265" s="14" t="n">
        <v>159.72</v>
      </c>
      <c r="T265" s="14" t="n">
        <v>0.9</v>
      </c>
      <c r="U265" s="14" t="n">
        <v>10</v>
      </c>
      <c r="V265" s="14" t="n">
        <v>19.53</v>
      </c>
      <c r="W265" s="14" t="n">
        <v>190.15</v>
      </c>
      <c r="X265" s="14" t="n">
        <v>236.77</v>
      </c>
      <c r="Y265" s="14" t="n">
        <v>46.62</v>
      </c>
      <c r="Z265" s="14" t="n">
        <v>5.03</v>
      </c>
      <c r="AA265" s="14" t="n">
        <v>0.11</v>
      </c>
      <c r="AB265" s="14" t="n">
        <v>0.01</v>
      </c>
      <c r="AC265" s="14" t="n">
        <v>0.11</v>
      </c>
      <c r="AD265" s="15" t="n">
        <f aca="false">H265*E265/1000</f>
        <v>0.221</v>
      </c>
      <c r="AE265" s="15" t="n">
        <f aca="false">I265*E265/1000</f>
        <v>0.017</v>
      </c>
      <c r="AF265" s="16" t="n">
        <f aca="false">ROUND(S265+T265+U265+V265-W265,2)</f>
        <v>0</v>
      </c>
      <c r="AG265" s="16" t="n">
        <f aca="false">ROUND(X265-W265-Y265,2)</f>
        <v>0</v>
      </c>
    </row>
    <row r="266" customFormat="false" ht="15" hidden="false" customHeight="false" outlineLevel="0" collapsed="false">
      <c r="A266" s="13" t="s">
        <v>217</v>
      </c>
      <c r="B266" s="13" t="s">
        <v>291</v>
      </c>
      <c r="C266" s="13" t="s">
        <v>263</v>
      </c>
      <c r="D266" s="13" t="s">
        <v>230</v>
      </c>
      <c r="E266" s="14" t="n">
        <v>34.5</v>
      </c>
      <c r="F266" s="14" t="n">
        <v>318</v>
      </c>
      <c r="G266" s="14" t="n">
        <v>10.97</v>
      </c>
      <c r="H266" s="14" t="n">
        <v>11</v>
      </c>
      <c r="I266" s="14" t="n">
        <v>1</v>
      </c>
      <c r="J266" s="14" t="n">
        <v>61.31</v>
      </c>
      <c r="K266" s="14" t="n">
        <v>129.77</v>
      </c>
      <c r="L266" s="14" t="n">
        <v>1.57</v>
      </c>
      <c r="M266" s="14" t="n">
        <v>13.91</v>
      </c>
      <c r="N266" s="14" t="n">
        <v>4.2</v>
      </c>
      <c r="O266" s="14" t="n">
        <v>0.59</v>
      </c>
      <c r="P266" s="14" t="n">
        <v>1</v>
      </c>
      <c r="Q266" s="14"/>
      <c r="R266" s="14" t="n">
        <v>1.4</v>
      </c>
      <c r="S266" s="14" t="n">
        <v>152.43</v>
      </c>
      <c r="T266" s="14" t="n">
        <v>0.9</v>
      </c>
      <c r="U266" s="14" t="n">
        <v>10</v>
      </c>
      <c r="V266" s="14" t="n">
        <v>19.84</v>
      </c>
      <c r="W266" s="14" t="n">
        <v>183.16</v>
      </c>
      <c r="X266" s="14" t="n">
        <v>236.77</v>
      </c>
      <c r="Y266" s="14" t="n">
        <v>53.61</v>
      </c>
      <c r="Z266" s="14" t="n">
        <v>5.48</v>
      </c>
      <c r="AA266" s="14" t="n">
        <v>0.16</v>
      </c>
      <c r="AB266" s="14" t="n">
        <v>0.02</v>
      </c>
      <c r="AC266" s="14" t="n">
        <v>0.22</v>
      </c>
      <c r="AD266" s="15" t="n">
        <f aca="false">H266*E266/1000</f>
        <v>0.3795</v>
      </c>
      <c r="AE266" s="15" t="n">
        <f aca="false">I266*E266/1000</f>
        <v>0.0345</v>
      </c>
      <c r="AF266" s="16" t="n">
        <f aca="false">ROUND(S266+T266+U266+V266-W266,2)</f>
        <v>0.01</v>
      </c>
      <c r="AG266" s="16" t="n">
        <f aca="false">ROUND(X266-W266-Y266,2)</f>
        <v>0</v>
      </c>
    </row>
    <row r="267" customFormat="false" ht="15" hidden="false" customHeight="false" outlineLevel="0" collapsed="false">
      <c r="A267" s="13" t="s">
        <v>217</v>
      </c>
      <c r="B267" s="13" t="s">
        <v>291</v>
      </c>
      <c r="C267" s="13" t="s">
        <v>263</v>
      </c>
      <c r="D267" s="13" t="s">
        <v>266</v>
      </c>
      <c r="E267" s="14" t="n">
        <v>32</v>
      </c>
      <c r="F267" s="14" t="n">
        <v>76</v>
      </c>
      <c r="G267" s="14" t="n">
        <v>2.43</v>
      </c>
      <c r="H267" s="14" t="n">
        <v>3</v>
      </c>
      <c r="I267" s="14"/>
      <c r="J267" s="14" t="n">
        <v>64.35</v>
      </c>
      <c r="K267" s="14" t="n">
        <v>129.39</v>
      </c>
      <c r="L267" s="14" t="n">
        <v>1.49</v>
      </c>
      <c r="M267" s="14" t="n">
        <v>16.74</v>
      </c>
      <c r="N267" s="14" t="n">
        <v>4.93</v>
      </c>
      <c r="O267" s="14" t="n">
        <v>0.59</v>
      </c>
      <c r="P267" s="14" t="n">
        <v>1</v>
      </c>
      <c r="Q267" s="14"/>
      <c r="R267" s="14" t="n">
        <v>1.4</v>
      </c>
      <c r="S267" s="14" t="n">
        <v>155.54</v>
      </c>
      <c r="T267" s="14" t="n">
        <v>0.9</v>
      </c>
      <c r="U267" s="14" t="n">
        <v>10</v>
      </c>
      <c r="V267" s="14" t="n">
        <v>19.34</v>
      </c>
      <c r="W267" s="14" t="n">
        <v>185.78</v>
      </c>
      <c r="X267" s="14" t="n">
        <v>236.77</v>
      </c>
      <c r="Y267" s="14" t="n">
        <v>50.99</v>
      </c>
      <c r="Z267" s="14" t="n">
        <v>1.15</v>
      </c>
      <c r="AA267" s="14" t="n">
        <v>0.04</v>
      </c>
      <c r="AB267" s="14" t="n">
        <v>0</v>
      </c>
      <c r="AC267" s="14" t="n">
        <v>0.05</v>
      </c>
      <c r="AD267" s="15" t="n">
        <f aca="false">H267*E267/1000</f>
        <v>0.096</v>
      </c>
      <c r="AE267" s="15" t="n">
        <f aca="false">I267*E267/1000</f>
        <v>0</v>
      </c>
      <c r="AF267" s="16" t="n">
        <f aca="false">ROUND(S267+T267+U267+V267-W267,2)</f>
        <v>0</v>
      </c>
      <c r="AG267" s="16" t="n">
        <f aca="false">ROUND(X267-W267-Y267,2)</f>
        <v>0</v>
      </c>
    </row>
    <row r="268" customFormat="false" ht="15" hidden="false" customHeight="false" outlineLevel="0" collapsed="false">
      <c r="A268" s="13" t="s">
        <v>217</v>
      </c>
      <c r="B268" s="13" t="s">
        <v>291</v>
      </c>
      <c r="C268" s="13" t="s">
        <v>263</v>
      </c>
      <c r="D268" s="13" t="s">
        <v>264</v>
      </c>
      <c r="E268" s="14" t="n">
        <v>15.4</v>
      </c>
      <c r="F268" s="14" t="n">
        <v>568</v>
      </c>
      <c r="G268" s="14" t="n">
        <v>8.75</v>
      </c>
      <c r="H268" s="14" t="n">
        <v>8</v>
      </c>
      <c r="I268" s="14"/>
      <c r="J268" s="14" t="n">
        <v>57.24</v>
      </c>
      <c r="K268" s="14" t="n">
        <v>130.33</v>
      </c>
      <c r="L268" s="14" t="n">
        <v>1.68</v>
      </c>
      <c r="M268" s="14" t="n">
        <v>23.13</v>
      </c>
      <c r="N268" s="14" t="n">
        <v>4.93</v>
      </c>
      <c r="O268" s="14" t="n">
        <v>0.59</v>
      </c>
      <c r="P268" s="14" t="n">
        <v>1</v>
      </c>
      <c r="Q268" s="14"/>
      <c r="R268" s="14" t="n">
        <v>1.4</v>
      </c>
      <c r="S268" s="14" t="n">
        <v>163.06</v>
      </c>
      <c r="T268" s="14" t="n">
        <v>0.9</v>
      </c>
      <c r="U268" s="14" t="n">
        <v>10</v>
      </c>
      <c r="V268" s="14" t="n">
        <v>20.58</v>
      </c>
      <c r="W268" s="14" t="n">
        <v>194.54</v>
      </c>
      <c r="X268" s="14" t="n">
        <v>236.77</v>
      </c>
      <c r="Y268" s="14" t="n">
        <v>42.23</v>
      </c>
      <c r="Z268" s="14" t="n">
        <v>3.58</v>
      </c>
      <c r="AA268" s="14" t="n">
        <v>0.07</v>
      </c>
      <c r="AB268" s="14" t="n">
        <v>0</v>
      </c>
      <c r="AC268" s="14" t="n">
        <v>0.05</v>
      </c>
      <c r="AD268" s="15" t="n">
        <f aca="false">H268*E268/1000</f>
        <v>0.1232</v>
      </c>
      <c r="AE268" s="15" t="n">
        <f aca="false">I268*E268/1000</f>
        <v>0</v>
      </c>
      <c r="AF268" s="16" t="n">
        <f aca="false">ROUND(S268+T268+U268+V268-W268,2)</f>
        <v>0</v>
      </c>
      <c r="AG268" s="16" t="n">
        <f aca="false">ROUND(X268-W268-Y268,2)</f>
        <v>0</v>
      </c>
    </row>
    <row r="269" customFormat="false" ht="15" hidden="false" customHeight="false" outlineLevel="0" collapsed="false">
      <c r="A269" s="13" t="s">
        <v>217</v>
      </c>
      <c r="B269" s="13" t="s">
        <v>291</v>
      </c>
      <c r="C269" s="13" t="s">
        <v>263</v>
      </c>
      <c r="D269" s="13" t="s">
        <v>289</v>
      </c>
      <c r="E269" s="14" t="n">
        <v>470</v>
      </c>
      <c r="F269" s="14" t="n">
        <v>1</v>
      </c>
      <c r="G269" s="14" t="n">
        <v>0.47</v>
      </c>
      <c r="H269" s="14" t="n">
        <v>2</v>
      </c>
      <c r="I269" s="14" t="n">
        <v>1</v>
      </c>
      <c r="J269" s="14" t="n">
        <v>66.3</v>
      </c>
      <c r="K269" s="14" t="n">
        <v>129.17</v>
      </c>
      <c r="L269" s="14" t="n">
        <v>1.45</v>
      </c>
      <c r="M269" s="14" t="n">
        <v>10.76</v>
      </c>
      <c r="N269" s="14" t="n">
        <v>4.93</v>
      </c>
      <c r="O269" s="14"/>
      <c r="P269" s="14" t="n">
        <v>1</v>
      </c>
      <c r="Q269" s="14"/>
      <c r="R269" s="14" t="n">
        <v>0.55</v>
      </c>
      <c r="S269" s="14" t="n">
        <v>147.85</v>
      </c>
      <c r="T269" s="14" t="n">
        <v>0.9</v>
      </c>
      <c r="U269" s="14" t="n">
        <v>10</v>
      </c>
      <c r="V269" s="14" t="n">
        <v>19.05</v>
      </c>
      <c r="W269" s="14" t="n">
        <v>177.8</v>
      </c>
      <c r="X269" s="14" t="n">
        <v>237.31</v>
      </c>
      <c r="Y269" s="14" t="n">
        <v>59.51</v>
      </c>
      <c r="Z269" s="14" t="n">
        <v>-1.17</v>
      </c>
      <c r="AA269" s="14" t="n">
        <v>0.36</v>
      </c>
      <c r="AB269" s="14" t="n">
        <v>0.26</v>
      </c>
      <c r="AC269" s="14" t="n">
        <v>0.84</v>
      </c>
      <c r="AD269" s="15" t="n">
        <f aca="false">H269*E269/1000</f>
        <v>0.94</v>
      </c>
      <c r="AE269" s="15" t="n">
        <f aca="false">I269*E269/1000</f>
        <v>0.47</v>
      </c>
      <c r="AF269" s="16" t="n">
        <f aca="false">ROUND(S269+T269+U269+V269-W269,2)</f>
        <v>0</v>
      </c>
      <c r="AG269" s="16" t="n">
        <f aca="false">ROUND(X269-W269-Y269,2)</f>
        <v>0</v>
      </c>
    </row>
    <row r="270" customFormat="false" ht="15" hidden="false" customHeight="false" outlineLevel="0" collapsed="false">
      <c r="A270" s="13" t="s">
        <v>217</v>
      </c>
      <c r="B270" s="13" t="s">
        <v>291</v>
      </c>
      <c r="C270" s="13" t="s">
        <v>263</v>
      </c>
      <c r="D270" s="13" t="s">
        <v>251</v>
      </c>
      <c r="E270" s="14" t="n">
        <v>63</v>
      </c>
      <c r="F270" s="14" t="n">
        <v>3</v>
      </c>
      <c r="G270" s="14" t="n">
        <v>0.189</v>
      </c>
      <c r="H270" s="14"/>
      <c r="I270" s="14"/>
      <c r="J270" s="14" t="n">
        <v>66.67</v>
      </c>
      <c r="K270" s="14" t="n">
        <v>129.13</v>
      </c>
      <c r="L270" s="14" t="n">
        <v>1.44</v>
      </c>
      <c r="M270" s="14" t="n">
        <v>12.64</v>
      </c>
      <c r="N270" s="14" t="n">
        <v>4.93</v>
      </c>
      <c r="O270" s="14" t="n">
        <v>0.59</v>
      </c>
      <c r="P270" s="14" t="n">
        <v>1</v>
      </c>
      <c r="Q270" s="14"/>
      <c r="R270" s="14" t="n">
        <v>1.4</v>
      </c>
      <c r="S270" s="14" t="n">
        <v>151.12</v>
      </c>
      <c r="T270" s="14" t="n">
        <v>0.9</v>
      </c>
      <c r="U270" s="14" t="n">
        <v>10</v>
      </c>
      <c r="V270" s="14" t="n">
        <v>19</v>
      </c>
      <c r="W270" s="14" t="n">
        <v>181.02</v>
      </c>
      <c r="X270" s="14" t="n">
        <v>235.92</v>
      </c>
      <c r="Y270" s="14" t="n">
        <v>54.9</v>
      </c>
      <c r="Z270" s="14" t="n">
        <v>0.1</v>
      </c>
      <c r="AA270" s="14" t="n">
        <v>0</v>
      </c>
      <c r="AB270" s="14" t="n">
        <v>0</v>
      </c>
      <c r="AC270" s="14" t="n">
        <v>0</v>
      </c>
      <c r="AD270" s="15" t="n">
        <f aca="false">H270*E270/1000</f>
        <v>0</v>
      </c>
      <c r="AE270" s="15" t="n">
        <f aca="false">I270*E270/1000</f>
        <v>0</v>
      </c>
      <c r="AF270" s="16" t="n">
        <f aca="false">ROUND(S270+T270+U270+V270-W270,2)</f>
        <v>0</v>
      </c>
      <c r="AG270" s="16" t="n">
        <f aca="false">ROUND(X270-W270-Y270,2)</f>
        <v>0</v>
      </c>
    </row>
    <row r="271" customFormat="false" ht="15" hidden="false" customHeight="false" outlineLevel="0" collapsed="false">
      <c r="A271" s="13" t="s">
        <v>217</v>
      </c>
      <c r="B271" s="13" t="s">
        <v>291</v>
      </c>
      <c r="C271" s="13" t="s">
        <v>263</v>
      </c>
      <c r="D271" s="13" t="s">
        <v>252</v>
      </c>
      <c r="E271" s="14" t="n">
        <v>47</v>
      </c>
      <c r="F271" s="14" t="n">
        <v>4</v>
      </c>
      <c r="G271" s="14" t="n">
        <v>0.188</v>
      </c>
      <c r="H271" s="14"/>
      <c r="I271" s="14"/>
      <c r="J271" s="14" t="n">
        <v>68.2</v>
      </c>
      <c r="K271" s="14" t="n">
        <v>128.97</v>
      </c>
      <c r="L271" s="14" t="n">
        <v>1.41</v>
      </c>
      <c r="M271" s="14" t="n">
        <v>11.75</v>
      </c>
      <c r="N271" s="14" t="n">
        <v>4.93</v>
      </c>
      <c r="O271" s="14" t="n">
        <v>0.59</v>
      </c>
      <c r="P271" s="14" t="n">
        <v>1</v>
      </c>
      <c r="Q271" s="14"/>
      <c r="R271" s="14" t="n">
        <v>1.4</v>
      </c>
      <c r="S271" s="14" t="n">
        <v>150.04</v>
      </c>
      <c r="T271" s="14" t="n">
        <v>0.9</v>
      </c>
      <c r="U271" s="14" t="n">
        <v>10</v>
      </c>
      <c r="V271" s="14" t="n">
        <v>18.78</v>
      </c>
      <c r="W271" s="14" t="n">
        <v>179.72</v>
      </c>
      <c r="X271" s="14" t="n">
        <v>235.92</v>
      </c>
      <c r="Y271" s="14" t="n">
        <v>56.2</v>
      </c>
      <c r="Z271" s="14" t="n">
        <v>0.11</v>
      </c>
      <c r="AA271" s="14" t="n">
        <v>0</v>
      </c>
      <c r="AB271" s="14" t="n">
        <v>0</v>
      </c>
      <c r="AC271" s="14" t="n">
        <v>0</v>
      </c>
      <c r="AD271" s="15" t="n">
        <f aca="false">H271*E271/1000</f>
        <v>0</v>
      </c>
      <c r="AE271" s="15" t="n">
        <f aca="false">I271*E271/1000</f>
        <v>0</v>
      </c>
      <c r="AF271" s="16" t="n">
        <f aca="false">ROUND(S271+T271+U271+V271-W271,2)</f>
        <v>0</v>
      </c>
      <c r="AG271" s="16" t="n">
        <f aca="false">ROUND(X271-W271-Y271,2)</f>
        <v>0</v>
      </c>
    </row>
    <row r="272" customFormat="false" ht="15" hidden="false" customHeight="false" outlineLevel="0" collapsed="false">
      <c r="A272" s="13" t="s">
        <v>217</v>
      </c>
      <c r="B272" s="13" t="s">
        <v>291</v>
      </c>
      <c r="C272" s="13" t="s">
        <v>263</v>
      </c>
      <c r="D272" s="13" t="s">
        <v>248</v>
      </c>
      <c r="E272" s="14" t="n">
        <v>66</v>
      </c>
      <c r="F272" s="14" t="n">
        <v>135</v>
      </c>
      <c r="G272" s="14" t="n">
        <v>8.91</v>
      </c>
      <c r="H272" s="14" t="n">
        <v>36</v>
      </c>
      <c r="I272" s="14" t="n">
        <v>3</v>
      </c>
      <c r="J272" s="14" t="n">
        <v>72.22</v>
      </c>
      <c r="K272" s="14" t="n">
        <v>128.57</v>
      </c>
      <c r="L272" s="14" t="n">
        <v>1.33</v>
      </c>
      <c r="M272" s="14" t="n">
        <v>12.19</v>
      </c>
      <c r="N272" s="14" t="n">
        <v>4.93</v>
      </c>
      <c r="O272" s="14" t="n">
        <v>0.59</v>
      </c>
      <c r="P272" s="14" t="n">
        <v>1</v>
      </c>
      <c r="Q272" s="14"/>
      <c r="R272" s="14" t="n">
        <v>1.4</v>
      </c>
      <c r="S272" s="14" t="n">
        <v>150</v>
      </c>
      <c r="T272" s="14" t="n">
        <v>0.9</v>
      </c>
      <c r="U272" s="14" t="n">
        <v>10</v>
      </c>
      <c r="V272" s="14" t="n">
        <v>18.26</v>
      </c>
      <c r="W272" s="14" t="n">
        <v>179.16</v>
      </c>
      <c r="X272" s="14" t="n">
        <v>237.09</v>
      </c>
      <c r="Y272" s="14" t="n">
        <v>57.93</v>
      </c>
      <c r="Z272" s="14" t="n">
        <v>2.66</v>
      </c>
      <c r="AA272" s="14" t="n">
        <v>0.9</v>
      </c>
      <c r="AB272" s="14" t="n">
        <v>0.11</v>
      </c>
      <c r="AC272" s="14" t="n">
        <v>1.49</v>
      </c>
      <c r="AD272" s="15" t="n">
        <f aca="false">H272*E272/1000</f>
        <v>2.376</v>
      </c>
      <c r="AE272" s="15" t="n">
        <f aca="false">I272*E272/1000</f>
        <v>0.198</v>
      </c>
      <c r="AF272" s="16" t="n">
        <f aca="false">ROUND(S272+T272+U272+V272-W272,2)</f>
        <v>0</v>
      </c>
      <c r="AG272" s="16" t="n">
        <f aca="false">ROUND(X272-W272-Y272,2)</f>
        <v>0</v>
      </c>
    </row>
    <row r="273" customFormat="false" ht="15" hidden="false" customHeight="false" outlineLevel="0" collapsed="false">
      <c r="A273" s="13" t="s">
        <v>217</v>
      </c>
      <c r="B273" s="13" t="s">
        <v>291</v>
      </c>
      <c r="C273" s="13" t="s">
        <v>263</v>
      </c>
      <c r="D273" s="13" t="s">
        <v>249</v>
      </c>
      <c r="E273" s="14" t="n">
        <v>62</v>
      </c>
      <c r="F273" s="14" t="n">
        <v>9</v>
      </c>
      <c r="G273" s="14" t="n">
        <v>0.558</v>
      </c>
      <c r="H273" s="14" t="n">
        <v>7</v>
      </c>
      <c r="I273" s="14"/>
      <c r="J273" s="14" t="n">
        <v>71.79</v>
      </c>
      <c r="K273" s="14" t="n">
        <v>128.61</v>
      </c>
      <c r="L273" s="14" t="n">
        <v>1.34</v>
      </c>
      <c r="M273" s="14" t="n">
        <v>12.05</v>
      </c>
      <c r="N273" s="14" t="n">
        <v>4.93</v>
      </c>
      <c r="O273" s="14" t="n">
        <v>0.59</v>
      </c>
      <c r="P273" s="14" t="n">
        <v>1</v>
      </c>
      <c r="Q273" s="14"/>
      <c r="R273" s="14" t="n">
        <v>1.4</v>
      </c>
      <c r="S273" s="14" t="n">
        <v>149.91</v>
      </c>
      <c r="T273" s="14" t="n">
        <v>0.9</v>
      </c>
      <c r="U273" s="14" t="n">
        <v>10</v>
      </c>
      <c r="V273" s="14" t="n">
        <v>18.31</v>
      </c>
      <c r="W273" s="14" t="n">
        <v>179.12</v>
      </c>
      <c r="X273" s="14" t="n">
        <v>237.09</v>
      </c>
      <c r="Y273" s="14" t="n">
        <v>57.97</v>
      </c>
      <c r="Z273" s="14" t="n">
        <v>-0.09</v>
      </c>
      <c r="AA273" s="14" t="n">
        <v>0.16</v>
      </c>
      <c r="AB273" s="14" t="n">
        <v>0</v>
      </c>
      <c r="AC273" s="14" t="n">
        <v>0.25</v>
      </c>
      <c r="AD273" s="15" t="n">
        <f aca="false">H273*E273/1000</f>
        <v>0.434</v>
      </c>
      <c r="AE273" s="15" t="n">
        <f aca="false">I273*E273/1000</f>
        <v>0</v>
      </c>
      <c r="AF273" s="16" t="n">
        <f aca="false">ROUND(S273+T273+U273+V273-W273,2)</f>
        <v>0</v>
      </c>
      <c r="AG273" s="16" t="n">
        <f aca="false">ROUND(X273-W273-Y273,2)</f>
        <v>0</v>
      </c>
    </row>
    <row r="274" customFormat="false" ht="15" hidden="false" customHeight="false" outlineLevel="0" collapsed="false">
      <c r="A274" s="13" t="s">
        <v>217</v>
      </c>
      <c r="B274" s="13" t="s">
        <v>291</v>
      </c>
      <c r="C274" s="13" t="s">
        <v>263</v>
      </c>
      <c r="D274" s="13" t="s">
        <v>250</v>
      </c>
      <c r="E274" s="14" t="n">
        <v>44.15</v>
      </c>
      <c r="F274" s="14" t="n">
        <v>36</v>
      </c>
      <c r="G274" s="14" t="n">
        <v>1.5894</v>
      </c>
      <c r="H274" s="14" t="n">
        <v>7</v>
      </c>
      <c r="I274" s="14"/>
      <c r="J274" s="14" t="n">
        <v>67.89</v>
      </c>
      <c r="K274" s="14" t="n">
        <v>129</v>
      </c>
      <c r="L274" s="14" t="n">
        <v>1.41</v>
      </c>
      <c r="M274" s="14" t="n">
        <v>11.84</v>
      </c>
      <c r="N274" s="14" t="n">
        <v>4.93</v>
      </c>
      <c r="O274" s="14" t="n">
        <v>0.59</v>
      </c>
      <c r="P274" s="14" t="n">
        <v>1</v>
      </c>
      <c r="Q274" s="14"/>
      <c r="R274" s="14" t="n">
        <v>1.4</v>
      </c>
      <c r="S274" s="14" t="n">
        <v>150.17</v>
      </c>
      <c r="T274" s="14" t="n">
        <v>0.9</v>
      </c>
      <c r="U274" s="14" t="n">
        <v>10</v>
      </c>
      <c r="V274" s="14" t="n">
        <v>18.82</v>
      </c>
      <c r="W274" s="14" t="n">
        <v>179.9</v>
      </c>
      <c r="X274" s="14" t="n">
        <v>237.09</v>
      </c>
      <c r="Y274" s="14" t="n">
        <v>57.19</v>
      </c>
      <c r="Z274" s="14" t="n">
        <v>0.61</v>
      </c>
      <c r="AA274" s="14" t="n">
        <v>0.12</v>
      </c>
      <c r="AB274" s="14" t="n">
        <v>0</v>
      </c>
      <c r="AC274" s="14" t="n">
        <v>0.18</v>
      </c>
      <c r="AD274" s="15" t="n">
        <f aca="false">H274*E274/1000</f>
        <v>0.30905</v>
      </c>
      <c r="AE274" s="15" t="n">
        <f aca="false">I274*E274/1000</f>
        <v>0</v>
      </c>
      <c r="AF274" s="16" t="n">
        <f aca="false">ROUND(S274+T274+U274+V274-W274,2)</f>
        <v>-0.01</v>
      </c>
      <c r="AG274" s="16" t="n">
        <f aca="false">ROUND(X274-W274-Y274,2)</f>
        <v>0</v>
      </c>
    </row>
    <row r="275" customFormat="false" ht="15" hidden="false" customHeight="false" outlineLevel="0" collapsed="false">
      <c r="A275" s="13" t="s">
        <v>217</v>
      </c>
      <c r="B275" s="13" t="s">
        <v>291</v>
      </c>
      <c r="C275" s="13" t="s">
        <v>229</v>
      </c>
      <c r="D275" s="13" t="s">
        <v>231</v>
      </c>
      <c r="E275" s="14" t="n">
        <v>26.17</v>
      </c>
      <c r="F275" s="14" t="n">
        <v>6</v>
      </c>
      <c r="G275" s="14" t="n">
        <v>0.16</v>
      </c>
      <c r="H275" s="14" t="n">
        <v>1</v>
      </c>
      <c r="I275" s="14"/>
      <c r="J275" s="14" t="n">
        <v>65.78</v>
      </c>
      <c r="K275" s="14" t="n">
        <v>130.74</v>
      </c>
      <c r="L275" s="14" t="n">
        <v>1.46</v>
      </c>
      <c r="M275" s="14" t="n">
        <v>14.89</v>
      </c>
      <c r="N275" s="14" t="n">
        <v>4</v>
      </c>
      <c r="O275" s="14" t="n">
        <v>0.59</v>
      </c>
      <c r="P275" s="14" t="n">
        <v>1.5</v>
      </c>
      <c r="Q275" s="14"/>
      <c r="R275" s="14" t="n">
        <v>1.4</v>
      </c>
      <c r="S275" s="14" t="n">
        <v>154.58</v>
      </c>
      <c r="T275" s="14" t="n">
        <v>0.9</v>
      </c>
      <c r="U275" s="14" t="n">
        <v>10</v>
      </c>
      <c r="V275" s="14" t="n">
        <v>19.94</v>
      </c>
      <c r="W275" s="14" t="n">
        <v>185.42</v>
      </c>
      <c r="X275" s="14" t="n">
        <v>235.92</v>
      </c>
      <c r="Y275" s="14" t="n">
        <v>50.5</v>
      </c>
      <c r="Z275" s="14" t="n">
        <v>0.05</v>
      </c>
      <c r="AA275" s="14" t="n">
        <v>0.01</v>
      </c>
      <c r="AB275" s="14" t="n">
        <v>0</v>
      </c>
      <c r="AC275" s="14" t="n">
        <v>0.01</v>
      </c>
      <c r="AD275" s="15" t="n">
        <f aca="false">H275*E275/1000</f>
        <v>0.02617</v>
      </c>
      <c r="AE275" s="15" t="n">
        <f aca="false">I275*E275/1000</f>
        <v>0</v>
      </c>
      <c r="AF275" s="16" t="n">
        <f aca="false">ROUND(S275+T275+U275+V275-W275,2)</f>
        <v>0</v>
      </c>
      <c r="AG275" s="16" t="n">
        <f aca="false">ROUND(X275-W275-Y275,2)</f>
        <v>0</v>
      </c>
    </row>
    <row r="276" customFormat="false" ht="15" hidden="false" customHeight="false" outlineLevel="0" collapsed="false">
      <c r="A276" s="13" t="s">
        <v>217</v>
      </c>
      <c r="B276" s="13" t="s">
        <v>291</v>
      </c>
      <c r="C276" s="13" t="s">
        <v>229</v>
      </c>
      <c r="D276" s="13" t="s">
        <v>230</v>
      </c>
      <c r="E276" s="14" t="n">
        <v>34.5</v>
      </c>
      <c r="F276" s="14" t="n">
        <v>144</v>
      </c>
      <c r="G276" s="14" t="n">
        <v>4.97</v>
      </c>
      <c r="H276" s="14" t="n">
        <v>4</v>
      </c>
      <c r="I276" s="14" t="n">
        <v>4</v>
      </c>
      <c r="J276" s="14" t="n">
        <v>61.31</v>
      </c>
      <c r="K276" s="14" t="n">
        <v>131.29</v>
      </c>
      <c r="L276" s="14" t="n">
        <v>1.57</v>
      </c>
      <c r="M276" s="14" t="n">
        <v>12.7</v>
      </c>
      <c r="N276" s="14" t="n">
        <v>4</v>
      </c>
      <c r="O276" s="14" t="n">
        <v>0.59</v>
      </c>
      <c r="P276" s="14" t="n">
        <v>1</v>
      </c>
      <c r="Q276" s="14"/>
      <c r="R276" s="14" t="n">
        <v>1.4</v>
      </c>
      <c r="S276" s="14" t="n">
        <v>152.54</v>
      </c>
      <c r="T276" s="14" t="n">
        <v>0.9</v>
      </c>
      <c r="U276" s="14" t="n">
        <v>10</v>
      </c>
      <c r="V276" s="14" t="n">
        <v>20.69</v>
      </c>
      <c r="W276" s="14" t="n">
        <v>184.12</v>
      </c>
      <c r="X276" s="14" t="n">
        <v>235.92</v>
      </c>
      <c r="Y276" s="14" t="n">
        <v>51.8</v>
      </c>
      <c r="Z276" s="14" t="n">
        <v>2.29</v>
      </c>
      <c r="AA276" s="14" t="n">
        <v>0.06</v>
      </c>
      <c r="AB276" s="14" t="n">
        <v>0.08</v>
      </c>
      <c r="AC276" s="14" t="n">
        <v>0.14</v>
      </c>
      <c r="AD276" s="15" t="n">
        <f aca="false">H276*E276/1000</f>
        <v>0.138</v>
      </c>
      <c r="AE276" s="15" t="n">
        <f aca="false">I276*E276/1000</f>
        <v>0.138</v>
      </c>
      <c r="AF276" s="16" t="n">
        <f aca="false">ROUND(S276+T276+U276+V276-W276,2)</f>
        <v>0.01</v>
      </c>
      <c r="AG276" s="16" t="n">
        <f aca="false">ROUND(X276-W276-Y276,2)</f>
        <v>0</v>
      </c>
    </row>
    <row r="277" customFormat="false" ht="15" hidden="false" customHeight="false" outlineLevel="0" collapsed="false">
      <c r="A277" s="13" t="s">
        <v>217</v>
      </c>
      <c r="B277" s="13" t="s">
        <v>291</v>
      </c>
      <c r="C277" s="13" t="s">
        <v>229</v>
      </c>
      <c r="D277" s="13" t="s">
        <v>289</v>
      </c>
      <c r="E277" s="14" t="n">
        <v>470</v>
      </c>
      <c r="F277" s="14" t="n">
        <v>164</v>
      </c>
      <c r="G277" s="14" t="n">
        <v>77.08</v>
      </c>
      <c r="H277" s="14" t="n">
        <v>1</v>
      </c>
      <c r="I277" s="14" t="n">
        <v>9</v>
      </c>
      <c r="J277" s="14" t="n">
        <v>66.3</v>
      </c>
      <c r="K277" s="14" t="n">
        <v>130.69</v>
      </c>
      <c r="L277" s="14" t="n">
        <v>1.45</v>
      </c>
      <c r="M277" s="14" t="n">
        <v>9.98</v>
      </c>
      <c r="N277" s="14" t="n">
        <v>4</v>
      </c>
      <c r="O277" s="14"/>
      <c r="P277" s="14" t="n">
        <v>1</v>
      </c>
      <c r="Q277" s="14"/>
      <c r="R277" s="14" t="n">
        <v>0.55</v>
      </c>
      <c r="S277" s="14" t="n">
        <v>147.66</v>
      </c>
      <c r="T277" s="14" t="n">
        <v>0.9</v>
      </c>
      <c r="U277" s="14" t="n">
        <v>10</v>
      </c>
      <c r="V277" s="14" t="n">
        <v>19.87</v>
      </c>
      <c r="W277" s="14" t="n">
        <v>178.43</v>
      </c>
      <c r="X277" s="14" t="n">
        <v>248.07</v>
      </c>
      <c r="Y277" s="14" t="n">
        <v>69.64</v>
      </c>
      <c r="Z277" s="14" t="n">
        <v>47.96</v>
      </c>
      <c r="AA277" s="14" t="n">
        <v>0.18</v>
      </c>
      <c r="AB277" s="14" t="n">
        <v>2.27</v>
      </c>
      <c r="AC277" s="14" t="n">
        <v>3.27</v>
      </c>
      <c r="AD277" s="15" t="n">
        <f aca="false">H277*E277/1000</f>
        <v>0.47</v>
      </c>
      <c r="AE277" s="15" t="n">
        <f aca="false">I277*E277/1000</f>
        <v>4.23</v>
      </c>
      <c r="AF277" s="16" t="n">
        <f aca="false">ROUND(S277+T277+U277+V277-W277,2)</f>
        <v>0</v>
      </c>
      <c r="AG277" s="16" t="n">
        <f aca="false">ROUND(X277-W277-Y277,2)</f>
        <v>0</v>
      </c>
    </row>
    <row r="278" customFormat="false" ht="15" hidden="false" customHeight="false" outlineLevel="0" collapsed="false">
      <c r="A278" s="13" t="s">
        <v>217</v>
      </c>
      <c r="B278" s="13" t="s">
        <v>291</v>
      </c>
      <c r="C278" s="13" t="s">
        <v>229</v>
      </c>
      <c r="D278" s="13" t="s">
        <v>251</v>
      </c>
      <c r="E278" s="14" t="n">
        <v>63</v>
      </c>
      <c r="F278" s="14" t="n">
        <v>27</v>
      </c>
      <c r="G278" s="14" t="n">
        <v>1.701</v>
      </c>
      <c r="H278" s="14" t="n">
        <v>2</v>
      </c>
      <c r="I278" s="14"/>
      <c r="J278" s="14" t="n">
        <v>66.67</v>
      </c>
      <c r="K278" s="14" t="n">
        <v>130.65</v>
      </c>
      <c r="L278" s="14" t="n">
        <v>1.44</v>
      </c>
      <c r="M278" s="14" t="n">
        <v>11.48</v>
      </c>
      <c r="N278" s="14" t="n">
        <v>4</v>
      </c>
      <c r="O278" s="14" t="n">
        <v>0.59</v>
      </c>
      <c r="P278" s="14" t="n">
        <v>1</v>
      </c>
      <c r="Q278" s="14"/>
      <c r="R278" s="14" t="n">
        <v>1.4</v>
      </c>
      <c r="S278" s="14" t="n">
        <v>150.55</v>
      </c>
      <c r="T278" s="14" t="n">
        <v>0.9</v>
      </c>
      <c r="U278" s="14" t="n">
        <v>10</v>
      </c>
      <c r="V278" s="14" t="n">
        <v>19.81</v>
      </c>
      <c r="W278" s="14" t="n">
        <v>181.26</v>
      </c>
      <c r="X278" s="14" t="n">
        <v>235.92</v>
      </c>
      <c r="Y278" s="14" t="n">
        <v>54.66</v>
      </c>
      <c r="Z278" s="14" t="n">
        <v>0.81</v>
      </c>
      <c r="AA278" s="14" t="n">
        <v>0.05</v>
      </c>
      <c r="AB278" s="14" t="n">
        <v>0</v>
      </c>
      <c r="AC278" s="14" t="n">
        <v>0.07</v>
      </c>
      <c r="AD278" s="15" t="n">
        <f aca="false">H278*E278/1000</f>
        <v>0.126</v>
      </c>
      <c r="AE278" s="15" t="n">
        <f aca="false">I278*E278/1000</f>
        <v>0</v>
      </c>
      <c r="AF278" s="16" t="n">
        <f aca="false">ROUND(S278+T278+U278+V278-W278,2)</f>
        <v>0</v>
      </c>
      <c r="AG278" s="16" t="n">
        <f aca="false">ROUND(X278-W278-Y278,2)</f>
        <v>0</v>
      </c>
    </row>
    <row r="279" customFormat="false" ht="15" hidden="false" customHeight="false" outlineLevel="0" collapsed="false">
      <c r="A279" s="13" t="s">
        <v>217</v>
      </c>
      <c r="B279" s="13" t="s">
        <v>291</v>
      </c>
      <c r="C279" s="13" t="s">
        <v>229</v>
      </c>
      <c r="D279" s="13" t="s">
        <v>252</v>
      </c>
      <c r="E279" s="14" t="n">
        <v>47</v>
      </c>
      <c r="F279" s="14" t="n">
        <v>20</v>
      </c>
      <c r="G279" s="14" t="n">
        <v>0.94</v>
      </c>
      <c r="H279" s="14" t="n">
        <v>7</v>
      </c>
      <c r="I279" s="14" t="n">
        <v>1</v>
      </c>
      <c r="J279" s="14" t="n">
        <v>68.2</v>
      </c>
      <c r="K279" s="14" t="n">
        <v>130.48</v>
      </c>
      <c r="L279" s="14" t="n">
        <v>1.41</v>
      </c>
      <c r="M279" s="14" t="n">
        <v>10.73</v>
      </c>
      <c r="N279" s="14" t="n">
        <v>4</v>
      </c>
      <c r="O279" s="14" t="n">
        <v>0.59</v>
      </c>
      <c r="P279" s="14" t="n">
        <v>1</v>
      </c>
      <c r="Q279" s="14"/>
      <c r="R279" s="14" t="n">
        <v>1.4</v>
      </c>
      <c r="S279" s="14" t="n">
        <v>149.6</v>
      </c>
      <c r="T279" s="14" t="n">
        <v>0.9</v>
      </c>
      <c r="U279" s="14" t="n">
        <v>10</v>
      </c>
      <c r="V279" s="14" t="n">
        <v>19.58</v>
      </c>
      <c r="W279" s="14" t="n">
        <v>180.09</v>
      </c>
      <c r="X279" s="14" t="n">
        <v>235.92</v>
      </c>
      <c r="Y279" s="14" t="n">
        <v>55.83</v>
      </c>
      <c r="Z279" s="14" t="n">
        <v>0.17</v>
      </c>
      <c r="AA279" s="14" t="n">
        <v>0.12</v>
      </c>
      <c r="AB279" s="14" t="n">
        <v>0.03</v>
      </c>
      <c r="AC279" s="14" t="n">
        <v>0.21</v>
      </c>
      <c r="AD279" s="15" t="n">
        <f aca="false">H279*E279/1000</f>
        <v>0.329</v>
      </c>
      <c r="AE279" s="15" t="n">
        <f aca="false">I279*E279/1000</f>
        <v>0.047</v>
      </c>
      <c r="AF279" s="16" t="n">
        <f aca="false">ROUND(S279+T279+U279+V279-W279,2)</f>
        <v>-0.01</v>
      </c>
      <c r="AG279" s="16" t="n">
        <f aca="false">ROUND(X279-W279-Y279,2)</f>
        <v>0</v>
      </c>
    </row>
    <row r="280" customFormat="false" ht="15" hidden="false" customHeight="false" outlineLevel="0" collapsed="false">
      <c r="A280" s="13" t="s">
        <v>217</v>
      </c>
      <c r="B280" s="13" t="s">
        <v>291</v>
      </c>
      <c r="C280" s="13" t="s">
        <v>234</v>
      </c>
      <c r="D280" s="13" t="s">
        <v>236</v>
      </c>
      <c r="E280" s="14" t="n">
        <v>31.66</v>
      </c>
      <c r="F280" s="14" t="n">
        <v>136</v>
      </c>
      <c r="G280" s="14" t="n">
        <v>4.31</v>
      </c>
      <c r="H280" s="14" t="n">
        <v>6</v>
      </c>
      <c r="I280" s="14" t="n">
        <v>1</v>
      </c>
      <c r="J280" s="14" t="n">
        <v>61.09</v>
      </c>
      <c r="K280" s="14" t="n">
        <v>144.82</v>
      </c>
      <c r="L280" s="14" t="n">
        <v>1.57</v>
      </c>
      <c r="M280" s="14" t="n">
        <v>12.9</v>
      </c>
      <c r="N280" s="14" t="n">
        <v>4</v>
      </c>
      <c r="O280" s="14" t="n">
        <v>0.59</v>
      </c>
      <c r="P280" s="14" t="n">
        <v>1</v>
      </c>
      <c r="Q280" s="14"/>
      <c r="R280" s="14" t="n">
        <v>1.1</v>
      </c>
      <c r="S280" s="14" t="n">
        <v>165.97</v>
      </c>
      <c r="T280" s="14" t="n">
        <v>0.9</v>
      </c>
      <c r="U280" s="14" t="n">
        <v>10</v>
      </c>
      <c r="V280" s="14" t="n">
        <v>20.73</v>
      </c>
      <c r="W280" s="14" t="n">
        <v>197.6</v>
      </c>
      <c r="X280" s="14" t="n">
        <v>250.79</v>
      </c>
      <c r="Y280" s="14" t="n">
        <v>53.19</v>
      </c>
      <c r="Z280" s="14" t="n">
        <v>2.07</v>
      </c>
      <c r="AA280" s="14" t="n">
        <v>0.08</v>
      </c>
      <c r="AB280" s="14" t="n">
        <v>0.02</v>
      </c>
      <c r="AC280" s="14" t="n">
        <v>0.12</v>
      </c>
      <c r="AD280" s="15" t="n">
        <f aca="false">H280*E280/1000</f>
        <v>0.18996</v>
      </c>
      <c r="AE280" s="15" t="n">
        <f aca="false">I280*E280/1000</f>
        <v>0.03166</v>
      </c>
      <c r="AF280" s="16" t="n">
        <f aca="false">ROUND(S280+T280+U280+V280-W280,2)</f>
        <v>0</v>
      </c>
      <c r="AG280" s="16" t="n">
        <f aca="false">ROUND(X280-W280-Y280,2)</f>
        <v>0</v>
      </c>
    </row>
    <row r="281" customFormat="false" ht="15" hidden="false" customHeight="false" outlineLevel="0" collapsed="false">
      <c r="A281" s="13" t="s">
        <v>217</v>
      </c>
      <c r="B281" s="13" t="s">
        <v>291</v>
      </c>
      <c r="C281" s="13" t="s">
        <v>234</v>
      </c>
      <c r="D281" s="13" t="s">
        <v>289</v>
      </c>
      <c r="E281" s="14" t="n">
        <v>470</v>
      </c>
      <c r="F281" s="14" t="n">
        <v>83</v>
      </c>
      <c r="G281" s="14" t="n">
        <v>39.01</v>
      </c>
      <c r="H281" s="14" t="n">
        <v>0</v>
      </c>
      <c r="I281" s="14" t="n">
        <v>8</v>
      </c>
      <c r="J281" s="14" t="n">
        <v>66.3</v>
      </c>
      <c r="K281" s="14" t="n">
        <v>144.12</v>
      </c>
      <c r="L281" s="14" t="n">
        <v>1.45</v>
      </c>
      <c r="M281" s="14" t="n">
        <v>10.86</v>
      </c>
      <c r="N281" s="14" t="n">
        <v>4</v>
      </c>
      <c r="O281" s="14"/>
      <c r="P281" s="14" t="n">
        <v>1</v>
      </c>
      <c r="Q281" s="14"/>
      <c r="R281" s="14" t="n">
        <v>0.55</v>
      </c>
      <c r="S281" s="14" t="n">
        <v>161.98</v>
      </c>
      <c r="T281" s="14" t="n">
        <v>0.9</v>
      </c>
      <c r="U281" s="14" t="n">
        <v>10</v>
      </c>
      <c r="V281" s="14" t="n">
        <v>19.87</v>
      </c>
      <c r="W281" s="14" t="n">
        <v>192.74</v>
      </c>
      <c r="X281" s="14" t="n">
        <v>250.79</v>
      </c>
      <c r="Y281" s="14" t="n">
        <v>58.05</v>
      </c>
      <c r="Z281" s="14" t="n">
        <v>18.38</v>
      </c>
      <c r="AA281" s="14" t="n">
        <v>0</v>
      </c>
      <c r="AB281" s="14" t="n">
        <v>2.08</v>
      </c>
      <c r="AC281" s="14" t="n">
        <v>2.18</v>
      </c>
      <c r="AD281" s="15" t="n">
        <f aca="false">H281*E281/1000</f>
        <v>0</v>
      </c>
      <c r="AE281" s="15" t="n">
        <f aca="false">I281*E281/1000</f>
        <v>3.76</v>
      </c>
      <c r="AF281" s="16" t="n">
        <f aca="false">ROUND(S281+T281+U281+V281-W281,2)</f>
        <v>0.01</v>
      </c>
      <c r="AG281" s="16" t="n">
        <f aca="false">ROUND(X281-W281-Y281,2)</f>
        <v>0</v>
      </c>
    </row>
    <row r="282" customFormat="false" ht="15" hidden="false" customHeight="false" outlineLevel="0" collapsed="false">
      <c r="A282" s="13" t="s">
        <v>217</v>
      </c>
      <c r="B282" s="13" t="s">
        <v>291</v>
      </c>
      <c r="C282" s="13" t="s">
        <v>234</v>
      </c>
      <c r="D282" s="13" t="s">
        <v>292</v>
      </c>
      <c r="E282" s="14" t="n">
        <v>78</v>
      </c>
      <c r="F282" s="14" t="n">
        <v>158</v>
      </c>
      <c r="G282" s="14" t="n">
        <v>12.324</v>
      </c>
      <c r="H282" s="14" t="n">
        <v>6</v>
      </c>
      <c r="I282" s="14" t="n">
        <v>1</v>
      </c>
      <c r="J282" s="14" t="n">
        <v>64.62</v>
      </c>
      <c r="K282" s="14" t="n">
        <v>144.33</v>
      </c>
      <c r="L282" s="14" t="n">
        <v>1.49</v>
      </c>
      <c r="M282" s="14" t="n">
        <v>9.81</v>
      </c>
      <c r="N282" s="14" t="n">
        <v>4</v>
      </c>
      <c r="O282" s="14" t="n">
        <v>0.59</v>
      </c>
      <c r="P282" s="14" t="n">
        <v>1</v>
      </c>
      <c r="Q282" s="14"/>
      <c r="R282" s="14" t="n">
        <v>1.1</v>
      </c>
      <c r="S282" s="14" t="n">
        <v>162.31</v>
      </c>
      <c r="T282" s="14" t="n">
        <v>0.9</v>
      </c>
      <c r="U282" s="14" t="n">
        <v>10</v>
      </c>
      <c r="V282" s="14" t="n">
        <v>20.13</v>
      </c>
      <c r="W282" s="14" t="n">
        <v>193.34</v>
      </c>
      <c r="X282" s="14" t="n">
        <v>250.79</v>
      </c>
      <c r="Y282" s="14" t="n">
        <v>57.45</v>
      </c>
      <c r="Z282" s="14" t="n">
        <v>6.54</v>
      </c>
      <c r="AA282" s="14" t="n">
        <v>0.18</v>
      </c>
      <c r="AB282" s="14" t="n">
        <v>0.04</v>
      </c>
      <c r="AC282" s="14" t="n">
        <v>0.31</v>
      </c>
      <c r="AD282" s="15" t="n">
        <f aca="false">H282*E282/1000</f>
        <v>0.468</v>
      </c>
      <c r="AE282" s="15" t="n">
        <f aca="false">I282*E282/1000</f>
        <v>0.078</v>
      </c>
      <c r="AF282" s="16" t="n">
        <f aca="false">ROUND(S282+T282+U282+V282-W282,2)</f>
        <v>0</v>
      </c>
      <c r="AG282" s="16" t="n">
        <f aca="false">ROUND(X282-W282-Y282,2)</f>
        <v>0</v>
      </c>
    </row>
    <row r="283" customFormat="false" ht="15" hidden="false" customHeight="false" outlineLevel="0" collapsed="false">
      <c r="A283" s="13" t="s">
        <v>217</v>
      </c>
      <c r="B283" s="13" t="s">
        <v>291</v>
      </c>
      <c r="C283" s="13" t="s">
        <v>234</v>
      </c>
      <c r="D283" s="13" t="s">
        <v>293</v>
      </c>
      <c r="E283" s="14" t="n">
        <v>51</v>
      </c>
      <c r="F283" s="14" t="n">
        <v>158</v>
      </c>
      <c r="G283" s="14" t="n">
        <v>8.058</v>
      </c>
      <c r="H283" s="14" t="n">
        <v>12</v>
      </c>
      <c r="I283" s="14"/>
      <c r="J283" s="14" t="n">
        <v>63.09</v>
      </c>
      <c r="K283" s="14" t="n">
        <v>144.54</v>
      </c>
      <c r="L283" s="14" t="n">
        <v>1.52</v>
      </c>
      <c r="M283" s="14" t="n">
        <v>9.52</v>
      </c>
      <c r="N283" s="14" t="n">
        <v>4</v>
      </c>
      <c r="O283" s="14" t="n">
        <v>0.59</v>
      </c>
      <c r="P283" s="14" t="n">
        <v>1</v>
      </c>
      <c r="Q283" s="14"/>
      <c r="R283" s="14" t="n">
        <v>1.1</v>
      </c>
      <c r="S283" s="14" t="n">
        <v>162.27</v>
      </c>
      <c r="T283" s="14" t="n">
        <v>0.9</v>
      </c>
      <c r="U283" s="14" t="n">
        <v>10</v>
      </c>
      <c r="V283" s="14" t="n">
        <v>20.38</v>
      </c>
      <c r="W283" s="14" t="n">
        <v>193.55</v>
      </c>
      <c r="X283" s="14" t="n">
        <v>250.79</v>
      </c>
      <c r="Y283" s="14" t="n">
        <v>57.24</v>
      </c>
      <c r="Z283" s="14" t="n">
        <v>4.02</v>
      </c>
      <c r="AA283" s="14" t="n">
        <v>0.24</v>
      </c>
      <c r="AB283" s="14" t="n">
        <v>0</v>
      </c>
      <c r="AC283" s="14" t="n">
        <v>0.35</v>
      </c>
      <c r="AD283" s="15" t="n">
        <f aca="false">H283*E283/1000</f>
        <v>0.612</v>
      </c>
      <c r="AE283" s="15" t="n">
        <f aca="false">I283*E283/1000</f>
        <v>0</v>
      </c>
      <c r="AF283" s="16" t="n">
        <f aca="false">ROUND(S283+T283+U283+V283-W283,2)</f>
        <v>0</v>
      </c>
      <c r="AG283" s="16" t="n">
        <f aca="false">ROUND(X283-W283-Y283,2)</f>
        <v>0</v>
      </c>
    </row>
    <row r="284" customFormat="false" ht="15" hidden="false" customHeight="false" outlineLevel="0" collapsed="false">
      <c r="A284" s="13" t="s">
        <v>217</v>
      </c>
      <c r="B284" s="13" t="s">
        <v>291</v>
      </c>
      <c r="C284" s="13" t="s">
        <v>234</v>
      </c>
      <c r="D284" s="13" t="s">
        <v>294</v>
      </c>
      <c r="E284" s="14" t="n">
        <v>66</v>
      </c>
      <c r="F284" s="14" t="n">
        <v>1</v>
      </c>
      <c r="G284" s="14" t="n">
        <v>0.066</v>
      </c>
      <c r="H284" s="14"/>
      <c r="I284" s="14"/>
      <c r="J284" s="14" t="n">
        <v>52.98</v>
      </c>
      <c r="K284" s="14" t="n">
        <v>146.18</v>
      </c>
      <c r="L284" s="14" t="n">
        <v>1.81</v>
      </c>
      <c r="M284" s="14" t="n">
        <v>13.26</v>
      </c>
      <c r="N284" s="14" t="n">
        <v>4</v>
      </c>
      <c r="O284" s="14" t="n">
        <v>0.59</v>
      </c>
      <c r="P284" s="14" t="n">
        <v>1</v>
      </c>
      <c r="Q284" s="14"/>
      <c r="R284" s="14" t="n">
        <v>1.1</v>
      </c>
      <c r="S284" s="14" t="n">
        <v>167.94</v>
      </c>
      <c r="T284" s="14" t="n">
        <v>0.9</v>
      </c>
      <c r="U284" s="14" t="n">
        <v>10</v>
      </c>
      <c r="V284" s="14" t="n">
        <v>22.4</v>
      </c>
      <c r="W284" s="14" t="n">
        <v>201.24</v>
      </c>
      <c r="X284" s="14" t="n">
        <v>250.79</v>
      </c>
      <c r="Y284" s="14" t="n">
        <v>49.55</v>
      </c>
      <c r="Z284" s="14" t="n">
        <v>0.03</v>
      </c>
      <c r="AA284" s="14" t="n">
        <v>0</v>
      </c>
      <c r="AB284" s="14" t="n">
        <v>0</v>
      </c>
      <c r="AC284" s="14" t="n">
        <v>0</v>
      </c>
      <c r="AD284" s="15" t="n">
        <f aca="false">H284*E284/1000</f>
        <v>0</v>
      </c>
      <c r="AE284" s="15" t="n">
        <f aca="false">I284*E284/1000</f>
        <v>0</v>
      </c>
      <c r="AF284" s="16" t="n">
        <f aca="false">ROUND(S284+T284+U284+V284-W284,2)</f>
        <v>0</v>
      </c>
      <c r="AG284" s="16" t="n">
        <f aca="false">ROUND(X284-W284-Y284,2)</f>
        <v>0</v>
      </c>
    </row>
    <row r="285" customFormat="false" ht="15" hidden="false" customHeight="false" outlineLevel="0" collapsed="false">
      <c r="A285" s="13" t="s">
        <v>217</v>
      </c>
      <c r="B285" s="13" t="s">
        <v>291</v>
      </c>
      <c r="C285" s="13" t="s">
        <v>234</v>
      </c>
      <c r="D285" s="13" t="s">
        <v>295</v>
      </c>
      <c r="E285" s="14" t="n">
        <v>74</v>
      </c>
      <c r="F285" s="14" t="n">
        <v>1</v>
      </c>
      <c r="G285" s="14" t="n">
        <v>0.074</v>
      </c>
      <c r="H285" s="14"/>
      <c r="I285" s="14"/>
      <c r="J285" s="14" t="n">
        <v>52.98</v>
      </c>
      <c r="K285" s="14" t="n">
        <v>146.18</v>
      </c>
      <c r="L285" s="14" t="n">
        <v>1.81</v>
      </c>
      <c r="M285" s="14" t="n">
        <v>13.06</v>
      </c>
      <c r="N285" s="14" t="n">
        <v>4</v>
      </c>
      <c r="O285" s="14" t="n">
        <v>0.59</v>
      </c>
      <c r="P285" s="14" t="n">
        <v>1</v>
      </c>
      <c r="Q285" s="14"/>
      <c r="R285" s="14" t="n">
        <v>1.1</v>
      </c>
      <c r="S285" s="14" t="n">
        <v>167.74</v>
      </c>
      <c r="T285" s="14" t="n">
        <v>0.9</v>
      </c>
      <c r="U285" s="14" t="n">
        <v>10</v>
      </c>
      <c r="V285" s="14" t="n">
        <v>22.4</v>
      </c>
      <c r="W285" s="14" t="n">
        <v>201.04</v>
      </c>
      <c r="X285" s="14" t="n">
        <v>250.79</v>
      </c>
      <c r="Y285" s="14" t="n">
        <v>49.75</v>
      </c>
      <c r="Z285" s="14" t="n">
        <v>0.04</v>
      </c>
      <c r="AA285" s="14" t="n">
        <v>0</v>
      </c>
      <c r="AB285" s="14" t="n">
        <v>0</v>
      </c>
      <c r="AC285" s="14" t="n">
        <v>0</v>
      </c>
      <c r="AD285" s="15" t="n">
        <f aca="false">H285*E285/1000</f>
        <v>0</v>
      </c>
      <c r="AE285" s="15" t="n">
        <f aca="false">I285*E285/1000</f>
        <v>0</v>
      </c>
      <c r="AF285" s="16" t="n">
        <f aca="false">ROUND(S285+T285+U285+V285-W285,2)</f>
        <v>0</v>
      </c>
      <c r="AG285" s="16" t="n">
        <f aca="false">ROUND(X285-W285-Y285,2)</f>
        <v>0</v>
      </c>
    </row>
    <row r="286" customFormat="false" ht="15" hidden="false" customHeight="false" outlineLevel="0" collapsed="false">
      <c r="A286" s="13" t="s">
        <v>217</v>
      </c>
      <c r="B286" s="13" t="s">
        <v>291</v>
      </c>
      <c r="C286" s="13" t="s">
        <v>234</v>
      </c>
      <c r="D286" s="13" t="s">
        <v>296</v>
      </c>
      <c r="E286" s="14" t="n">
        <v>74</v>
      </c>
      <c r="F286" s="14" t="n">
        <v>1</v>
      </c>
      <c r="G286" s="14" t="n">
        <v>0.074</v>
      </c>
      <c r="H286" s="14"/>
      <c r="I286" s="14"/>
      <c r="J286" s="14" t="n">
        <v>52.98</v>
      </c>
      <c r="K286" s="14" t="n">
        <v>146.18</v>
      </c>
      <c r="L286" s="14" t="n">
        <v>1.81</v>
      </c>
      <c r="M286" s="14" t="n">
        <v>13.06</v>
      </c>
      <c r="N286" s="14" t="n">
        <v>4</v>
      </c>
      <c r="O286" s="14" t="n">
        <v>0.59</v>
      </c>
      <c r="P286" s="14" t="n">
        <v>1</v>
      </c>
      <c r="Q286" s="14"/>
      <c r="R286" s="14" t="n">
        <v>1.1</v>
      </c>
      <c r="S286" s="14" t="n">
        <v>167.74</v>
      </c>
      <c r="T286" s="14" t="n">
        <v>0.9</v>
      </c>
      <c r="U286" s="14" t="n">
        <v>10</v>
      </c>
      <c r="V286" s="14" t="n">
        <v>22.4</v>
      </c>
      <c r="W286" s="14" t="n">
        <v>201.04</v>
      </c>
      <c r="X286" s="14" t="n">
        <v>250.79</v>
      </c>
      <c r="Y286" s="14" t="n">
        <v>49.75</v>
      </c>
      <c r="Z286" s="14" t="n">
        <v>0.04</v>
      </c>
      <c r="AA286" s="14" t="n">
        <v>0</v>
      </c>
      <c r="AB286" s="14" t="n">
        <v>0</v>
      </c>
      <c r="AC286" s="14" t="n">
        <v>0</v>
      </c>
      <c r="AD286" s="15" t="n">
        <f aca="false">H286*E286/1000</f>
        <v>0</v>
      </c>
      <c r="AE286" s="15" t="n">
        <f aca="false">I286*E286/1000</f>
        <v>0</v>
      </c>
      <c r="AF286" s="16" t="n">
        <f aca="false">ROUND(S286+T286+U286+V286-W286,2)</f>
        <v>0</v>
      </c>
      <c r="AG286" s="16" t="n">
        <f aca="false">ROUND(X286-W286-Y286,2)</f>
        <v>0</v>
      </c>
    </row>
    <row r="287" customFormat="false" ht="15" hidden="false" customHeight="false" outlineLevel="0" collapsed="false">
      <c r="A287" s="13" t="s">
        <v>217</v>
      </c>
      <c r="B287" s="13" t="s">
        <v>291</v>
      </c>
      <c r="C287" s="13" t="s">
        <v>268</v>
      </c>
      <c r="D287" s="13" t="s">
        <v>289</v>
      </c>
      <c r="E287" s="14" t="n">
        <v>470</v>
      </c>
      <c r="F287" s="14" t="n">
        <v>152</v>
      </c>
      <c r="G287" s="14" t="n">
        <v>71.44</v>
      </c>
      <c r="H287" s="14"/>
      <c r="I287" s="14" t="n">
        <v>12</v>
      </c>
      <c r="J287" s="14" t="n">
        <v>66.3</v>
      </c>
      <c r="K287" s="14" t="n">
        <v>131.14</v>
      </c>
      <c r="L287" s="14" t="n">
        <v>1.45</v>
      </c>
      <c r="M287" s="14" t="n">
        <v>9.54</v>
      </c>
      <c r="N287" s="14" t="n">
        <v>3.05</v>
      </c>
      <c r="O287" s="14"/>
      <c r="P287" s="14" t="n">
        <v>1</v>
      </c>
      <c r="Q287" s="14"/>
      <c r="R287" s="14" t="n">
        <v>0.55</v>
      </c>
      <c r="S287" s="14" t="n">
        <v>146.73</v>
      </c>
      <c r="T287" s="14" t="n">
        <v>0.9</v>
      </c>
      <c r="U287" s="14" t="n">
        <v>10</v>
      </c>
      <c r="V287" s="14" t="n">
        <v>19.22</v>
      </c>
      <c r="W287" s="14" t="n">
        <v>176.86</v>
      </c>
      <c r="X287" s="14" t="n">
        <v>253.55</v>
      </c>
      <c r="Y287" s="14" t="n">
        <v>76.69</v>
      </c>
      <c r="Z287" s="14" t="n">
        <v>47.55</v>
      </c>
      <c r="AA287" s="14" t="n">
        <v>0</v>
      </c>
      <c r="AB287" s="14" t="n">
        <v>2.92</v>
      </c>
      <c r="AC287" s="14" t="n">
        <v>4.33</v>
      </c>
      <c r="AD287" s="15" t="n">
        <f aca="false">H287*E287/1000</f>
        <v>0</v>
      </c>
      <c r="AE287" s="15" t="n">
        <f aca="false">I287*E287/1000</f>
        <v>5.64</v>
      </c>
      <c r="AF287" s="16" t="n">
        <f aca="false">ROUND(S287+T287+U287+V287-W287,2)</f>
        <v>-0.01</v>
      </c>
      <c r="AG287" s="16" t="n">
        <f aca="false">ROUND(X287-W287-Y287,2)</f>
        <v>0</v>
      </c>
    </row>
    <row r="288" customFormat="false" ht="15" hidden="false" customHeight="false" outlineLevel="0" collapsed="false">
      <c r="A288" s="13" t="s">
        <v>217</v>
      </c>
      <c r="B288" s="13" t="s">
        <v>291</v>
      </c>
      <c r="C288" s="13" t="s">
        <v>268</v>
      </c>
      <c r="D288" s="13" t="s">
        <v>251</v>
      </c>
      <c r="E288" s="14" t="n">
        <v>63</v>
      </c>
      <c r="F288" s="14" t="n">
        <v>27</v>
      </c>
      <c r="G288" s="14" t="n">
        <v>1.701</v>
      </c>
      <c r="H288" s="14"/>
      <c r="I288" s="14"/>
      <c r="J288" s="14" t="n">
        <v>66.67</v>
      </c>
      <c r="K288" s="14" t="n">
        <v>131.1</v>
      </c>
      <c r="L288" s="14" t="n">
        <v>1.44</v>
      </c>
      <c r="M288" s="14" t="n">
        <v>11</v>
      </c>
      <c r="N288" s="14" t="n">
        <v>3.05</v>
      </c>
      <c r="O288" s="14" t="n">
        <v>0.59</v>
      </c>
      <c r="P288" s="14" t="n">
        <v>1</v>
      </c>
      <c r="Q288" s="14"/>
      <c r="R288" s="14" t="n">
        <v>1.4</v>
      </c>
      <c r="S288" s="14" t="n">
        <v>149.58</v>
      </c>
      <c r="T288" s="14" t="n">
        <v>0.9</v>
      </c>
      <c r="U288" s="14" t="n">
        <v>10</v>
      </c>
      <c r="V288" s="14" t="n">
        <v>19.17</v>
      </c>
      <c r="W288" s="14" t="n">
        <v>179.65</v>
      </c>
      <c r="X288" s="14" t="n">
        <v>253.55</v>
      </c>
      <c r="Y288" s="14" t="n">
        <v>73.9</v>
      </c>
      <c r="Z288" s="14" t="n">
        <v>1.26</v>
      </c>
      <c r="AA288" s="14" t="n">
        <v>0</v>
      </c>
      <c r="AB288" s="14" t="n">
        <v>0</v>
      </c>
      <c r="AC288" s="14" t="n">
        <v>0</v>
      </c>
      <c r="AD288" s="15" t="n">
        <f aca="false">H288*E288/1000</f>
        <v>0</v>
      </c>
      <c r="AE288" s="15" t="n">
        <f aca="false">I288*E288/1000</f>
        <v>0</v>
      </c>
      <c r="AF288" s="16" t="n">
        <f aca="false">ROUND(S288+T288+U288+V288-W288,2)</f>
        <v>0</v>
      </c>
      <c r="AG288" s="16" t="n">
        <f aca="false">ROUND(X288-W288-Y288,2)</f>
        <v>0</v>
      </c>
    </row>
    <row r="289" customFormat="false" ht="15" hidden="false" customHeight="false" outlineLevel="0" collapsed="false">
      <c r="A289" s="13" t="s">
        <v>217</v>
      </c>
      <c r="B289" s="13" t="s">
        <v>291</v>
      </c>
      <c r="C289" s="13" t="s">
        <v>268</v>
      </c>
      <c r="D289" s="13" t="s">
        <v>252</v>
      </c>
      <c r="E289" s="14" t="n">
        <v>47</v>
      </c>
      <c r="F289" s="14" t="n">
        <v>16</v>
      </c>
      <c r="G289" s="14" t="n">
        <v>0.752</v>
      </c>
      <c r="H289" s="14"/>
      <c r="I289" s="14"/>
      <c r="J289" s="14" t="n">
        <v>68.2</v>
      </c>
      <c r="K289" s="14" t="n">
        <v>130.93</v>
      </c>
      <c r="L289" s="14" t="n">
        <v>1.41</v>
      </c>
      <c r="M289" s="14" t="n">
        <v>10.3</v>
      </c>
      <c r="N289" s="14" t="n">
        <v>3.05</v>
      </c>
      <c r="O289" s="14" t="n">
        <v>0.59</v>
      </c>
      <c r="P289" s="14" t="n">
        <v>1</v>
      </c>
      <c r="Q289" s="14"/>
      <c r="R289" s="14" t="n">
        <v>1.4</v>
      </c>
      <c r="S289" s="14" t="n">
        <v>148.68</v>
      </c>
      <c r="T289" s="14" t="n">
        <v>0.9</v>
      </c>
      <c r="U289" s="14" t="n">
        <v>10</v>
      </c>
      <c r="V289" s="14" t="n">
        <v>18.95</v>
      </c>
      <c r="W289" s="14" t="n">
        <v>178.54</v>
      </c>
      <c r="X289" s="14" t="n">
        <v>253.55</v>
      </c>
      <c r="Y289" s="14" t="n">
        <v>75.01</v>
      </c>
      <c r="Z289" s="14" t="n">
        <v>0.56</v>
      </c>
      <c r="AA289" s="14" t="n">
        <v>0</v>
      </c>
      <c r="AB289" s="14" t="n">
        <v>0</v>
      </c>
      <c r="AC289" s="14" t="n">
        <v>0</v>
      </c>
      <c r="AD289" s="15" t="n">
        <f aca="false">H289*E289/1000</f>
        <v>0</v>
      </c>
      <c r="AE289" s="15" t="n">
        <f aca="false">I289*E289/1000</f>
        <v>0</v>
      </c>
      <c r="AF289" s="16" t="n">
        <f aca="false">ROUND(S289+T289+U289+V289-W289,2)</f>
        <v>-0.01</v>
      </c>
      <c r="AG289" s="16" t="n">
        <f aca="false">ROUND(X289-W289-Y289,2)</f>
        <v>0</v>
      </c>
    </row>
    <row r="290" customFormat="false" ht="15" hidden="false" customHeight="false" outlineLevel="0" collapsed="false">
      <c r="A290" s="13" t="s">
        <v>217</v>
      </c>
      <c r="B290" s="13" t="s">
        <v>291</v>
      </c>
      <c r="C290" s="13" t="s">
        <v>268</v>
      </c>
      <c r="D290" s="13" t="s">
        <v>290</v>
      </c>
      <c r="E290" s="14" t="n">
        <v>30.7</v>
      </c>
      <c r="F290" s="14" t="n">
        <v>582</v>
      </c>
      <c r="G290" s="14" t="n">
        <v>17.867</v>
      </c>
      <c r="H290" s="14" t="n">
        <v>20</v>
      </c>
      <c r="I290" s="14" t="n">
        <v>1</v>
      </c>
      <c r="J290" s="14" t="n">
        <v>68.18</v>
      </c>
      <c r="K290" s="14" t="n">
        <v>130.94</v>
      </c>
      <c r="L290" s="14" t="n">
        <v>1.41</v>
      </c>
      <c r="M290" s="14" t="n">
        <v>14.35</v>
      </c>
      <c r="N290" s="14" t="n">
        <v>3.05</v>
      </c>
      <c r="O290" s="14" t="n">
        <v>0.59</v>
      </c>
      <c r="P290" s="14" t="n">
        <v>1</v>
      </c>
      <c r="Q290" s="14"/>
      <c r="R290" s="14" t="n">
        <v>1.15</v>
      </c>
      <c r="S290" s="14" t="n">
        <v>152.47</v>
      </c>
      <c r="T290" s="14" t="n">
        <v>0.9</v>
      </c>
      <c r="U290" s="14" t="n">
        <v>10</v>
      </c>
      <c r="V290" s="14" t="n">
        <v>18.96</v>
      </c>
      <c r="W290" s="14" t="n">
        <v>182.33</v>
      </c>
      <c r="X290" s="14" t="n">
        <v>253.55</v>
      </c>
      <c r="Y290" s="14" t="n">
        <v>71.22</v>
      </c>
      <c r="Z290" s="14" t="n">
        <v>12</v>
      </c>
      <c r="AA290" s="14" t="n">
        <v>0.25</v>
      </c>
      <c r="AB290" s="14" t="n">
        <v>0.02</v>
      </c>
      <c r="AC290" s="14" t="n">
        <v>0.46</v>
      </c>
      <c r="AD290" s="15" t="n">
        <f aca="false">H290*E290/1000</f>
        <v>0.614</v>
      </c>
      <c r="AE290" s="15" t="n">
        <f aca="false">I290*E290/1000</f>
        <v>0.0307</v>
      </c>
      <c r="AF290" s="16" t="n">
        <f aca="false">ROUND(S290+T290+U290+V290-W290,2)</f>
        <v>0</v>
      </c>
      <c r="AG290" s="16" t="n">
        <f aca="false">ROUND(X290-W290-Y290,2)</f>
        <v>0</v>
      </c>
    </row>
    <row r="291" customFormat="false" ht="15" hidden="false" customHeight="false" outlineLevel="0" collapsed="false">
      <c r="A291" s="13" t="s">
        <v>217</v>
      </c>
      <c r="B291" s="13" t="s">
        <v>291</v>
      </c>
      <c r="C291" s="13" t="s">
        <v>268</v>
      </c>
      <c r="D291" s="13" t="s">
        <v>292</v>
      </c>
      <c r="E291" s="14" t="n">
        <v>78</v>
      </c>
      <c r="F291" s="14" t="n">
        <v>6</v>
      </c>
      <c r="G291" s="14" t="n">
        <v>0.468</v>
      </c>
      <c r="H291" s="14" t="n">
        <v>1</v>
      </c>
      <c r="I291" s="14" t="n">
        <v>1</v>
      </c>
      <c r="J291" s="14" t="n">
        <v>64.62</v>
      </c>
      <c r="K291" s="14" t="n">
        <v>131.34</v>
      </c>
      <c r="L291" s="14" t="n">
        <v>1.49</v>
      </c>
      <c r="M291" s="14" t="n">
        <v>10.4</v>
      </c>
      <c r="N291" s="14" t="n">
        <v>3.05</v>
      </c>
      <c r="O291" s="14" t="n">
        <v>0.59</v>
      </c>
      <c r="P291" s="14" t="n">
        <v>1</v>
      </c>
      <c r="Q291" s="14"/>
      <c r="R291" s="14" t="n">
        <v>1.1</v>
      </c>
      <c r="S291" s="14" t="n">
        <v>148.95</v>
      </c>
      <c r="T291" s="14" t="n">
        <v>0.9</v>
      </c>
      <c r="U291" s="14" t="n">
        <v>10</v>
      </c>
      <c r="V291" s="14" t="n">
        <v>19.48</v>
      </c>
      <c r="W291" s="14" t="n">
        <v>179.33</v>
      </c>
      <c r="X291" s="14" t="n">
        <v>250.79</v>
      </c>
      <c r="Y291" s="14" t="n">
        <v>71.46</v>
      </c>
      <c r="Z291" s="14" t="n">
        <v>0.15</v>
      </c>
      <c r="AA291" s="14" t="n">
        <v>0.03</v>
      </c>
      <c r="AB291" s="14" t="n">
        <v>0.04</v>
      </c>
      <c r="AC291" s="14" t="n">
        <v>0.11</v>
      </c>
      <c r="AD291" s="15" t="n">
        <f aca="false">H291*E291/1000</f>
        <v>0.078</v>
      </c>
      <c r="AE291" s="15" t="n">
        <f aca="false">I291*E291/1000</f>
        <v>0.078</v>
      </c>
      <c r="AF291" s="16" t="n">
        <f aca="false">ROUND(S291+T291+U291+V291-W291,2)</f>
        <v>0</v>
      </c>
      <c r="AG291" s="16" t="n">
        <f aca="false">ROUND(X291-W291-Y291,2)</f>
        <v>0</v>
      </c>
    </row>
    <row r="292" customFormat="false" ht="15" hidden="false" customHeight="false" outlineLevel="0" collapsed="false">
      <c r="A292" s="13" t="s">
        <v>217</v>
      </c>
      <c r="B292" s="13" t="s">
        <v>291</v>
      </c>
      <c r="C292" s="13" t="s">
        <v>268</v>
      </c>
      <c r="D292" s="13" t="s">
        <v>293</v>
      </c>
      <c r="E292" s="14" t="n">
        <v>51</v>
      </c>
      <c r="F292" s="14" t="n">
        <v>24</v>
      </c>
      <c r="G292" s="14" t="n">
        <v>1.224</v>
      </c>
      <c r="H292" s="14" t="n">
        <v>12</v>
      </c>
      <c r="I292" s="14" t="n">
        <v>1</v>
      </c>
      <c r="J292" s="14" t="n">
        <v>63.09</v>
      </c>
      <c r="K292" s="14" t="n">
        <v>131.52</v>
      </c>
      <c r="L292" s="14" t="n">
        <v>1.52</v>
      </c>
      <c r="M292" s="14" t="n">
        <v>10.1</v>
      </c>
      <c r="N292" s="14" t="n">
        <v>3.05</v>
      </c>
      <c r="O292" s="14" t="n">
        <v>0.59</v>
      </c>
      <c r="P292" s="14" t="n">
        <v>1</v>
      </c>
      <c r="Q292" s="14"/>
      <c r="R292" s="14" t="n">
        <v>1.1</v>
      </c>
      <c r="S292" s="14" t="n">
        <v>148.88</v>
      </c>
      <c r="T292" s="14" t="n">
        <v>0.9</v>
      </c>
      <c r="U292" s="14" t="n">
        <v>10</v>
      </c>
      <c r="V292" s="14" t="n">
        <v>19.72</v>
      </c>
      <c r="W292" s="14" t="n">
        <v>179.49</v>
      </c>
      <c r="X292" s="14" t="n">
        <v>250.79</v>
      </c>
      <c r="Y292" s="14" t="n">
        <v>71.3</v>
      </c>
      <c r="Z292" s="14" t="n">
        <v>0.14</v>
      </c>
      <c r="AA292" s="14" t="n">
        <v>0.23</v>
      </c>
      <c r="AB292" s="14" t="n">
        <v>0.03</v>
      </c>
      <c r="AC292" s="14" t="n">
        <v>0.47</v>
      </c>
      <c r="AD292" s="15" t="n">
        <f aca="false">H292*E292/1000</f>
        <v>0.612</v>
      </c>
      <c r="AE292" s="15" t="n">
        <f aca="false">I292*E292/1000</f>
        <v>0.051</v>
      </c>
      <c r="AF292" s="16" t="n">
        <f aca="false">ROUND(S292+T292+U292+V292-W292,2)</f>
        <v>0.01</v>
      </c>
      <c r="AG292" s="16" t="n">
        <f aca="false">ROUND(X292-W292-Y292,2)</f>
        <v>0</v>
      </c>
    </row>
    <row r="293" customFormat="false" ht="15" hidden="false" customHeight="false" outlineLevel="0" collapsed="false">
      <c r="A293" s="13" t="s">
        <v>217</v>
      </c>
      <c r="B293" s="13" t="s">
        <v>291</v>
      </c>
      <c r="C293" s="13" t="s">
        <v>268</v>
      </c>
      <c r="D293" s="13" t="s">
        <v>294</v>
      </c>
      <c r="E293" s="14" t="n">
        <v>66</v>
      </c>
      <c r="F293" s="14" t="n">
        <v>18</v>
      </c>
      <c r="G293" s="14" t="n">
        <v>1.188</v>
      </c>
      <c r="H293" s="14"/>
      <c r="I293" s="14"/>
      <c r="J293" s="14" t="n">
        <v>52.98</v>
      </c>
      <c r="K293" s="14" t="n">
        <v>133.02</v>
      </c>
      <c r="L293" s="14" t="n">
        <v>1.81</v>
      </c>
      <c r="M293" s="14" t="n">
        <v>11.7</v>
      </c>
      <c r="N293" s="14" t="n">
        <v>3.05</v>
      </c>
      <c r="O293" s="14" t="n">
        <v>0.59</v>
      </c>
      <c r="P293" s="14" t="n">
        <v>1</v>
      </c>
      <c r="Q293" s="14"/>
      <c r="R293" s="14" t="n">
        <v>1.1</v>
      </c>
      <c r="S293" s="14" t="n">
        <v>152.27</v>
      </c>
      <c r="T293" s="14" t="n">
        <v>0.9</v>
      </c>
      <c r="U293" s="14" t="n">
        <v>10</v>
      </c>
      <c r="V293" s="14" t="n">
        <v>21.66</v>
      </c>
      <c r="W293" s="14" t="n">
        <v>184.83</v>
      </c>
      <c r="X293" s="14" t="n">
        <v>250.79</v>
      </c>
      <c r="Y293" s="14" t="n">
        <v>65.96</v>
      </c>
      <c r="Z293" s="14" t="n">
        <v>0.78</v>
      </c>
      <c r="AA293" s="14" t="n">
        <v>0</v>
      </c>
      <c r="AB293" s="14" t="n">
        <v>0</v>
      </c>
      <c r="AC293" s="14" t="n">
        <v>0</v>
      </c>
      <c r="AD293" s="15" t="n">
        <f aca="false">H293*E293/1000</f>
        <v>0</v>
      </c>
      <c r="AE293" s="15" t="n">
        <f aca="false">I293*E293/1000</f>
        <v>0</v>
      </c>
      <c r="AF293" s="16" t="n">
        <f aca="false">ROUND(S293+T293+U293+V293-W293,2)</f>
        <v>0</v>
      </c>
      <c r="AG293" s="16" t="n">
        <f aca="false">ROUND(X293-W293-Y293,2)</f>
        <v>0</v>
      </c>
    </row>
    <row r="294" customFormat="false" ht="15" hidden="false" customHeight="false" outlineLevel="0" collapsed="false">
      <c r="A294" s="13" t="s">
        <v>217</v>
      </c>
      <c r="B294" s="13" t="s">
        <v>291</v>
      </c>
      <c r="C294" s="13" t="s">
        <v>268</v>
      </c>
      <c r="D294" s="13" t="s">
        <v>295</v>
      </c>
      <c r="E294" s="14" t="n">
        <v>74</v>
      </c>
      <c r="F294" s="14" t="n">
        <v>18</v>
      </c>
      <c r="G294" s="14" t="n">
        <v>1.332</v>
      </c>
      <c r="H294" s="14"/>
      <c r="I294" s="14"/>
      <c r="J294" s="14" t="n">
        <v>52.98</v>
      </c>
      <c r="K294" s="14" t="n">
        <v>133.02</v>
      </c>
      <c r="L294" s="14" t="n">
        <v>1.81</v>
      </c>
      <c r="M294" s="14" t="n">
        <v>11.5</v>
      </c>
      <c r="N294" s="14" t="n">
        <v>3.05</v>
      </c>
      <c r="O294" s="14" t="n">
        <v>0.59</v>
      </c>
      <c r="P294" s="14" t="n">
        <v>1</v>
      </c>
      <c r="Q294" s="14"/>
      <c r="R294" s="14" t="n">
        <v>1.1</v>
      </c>
      <c r="S294" s="14" t="n">
        <v>152.07</v>
      </c>
      <c r="T294" s="14" t="n">
        <v>0.9</v>
      </c>
      <c r="U294" s="14" t="n">
        <v>10</v>
      </c>
      <c r="V294" s="14" t="n">
        <v>21.66</v>
      </c>
      <c r="W294" s="14" t="n">
        <v>184.63</v>
      </c>
      <c r="X294" s="14" t="n">
        <v>250.79</v>
      </c>
      <c r="Y294" s="14" t="n">
        <v>66.16</v>
      </c>
      <c r="Z294" s="14" t="n">
        <v>0.88</v>
      </c>
      <c r="AA294" s="14" t="n">
        <v>0</v>
      </c>
      <c r="AB294" s="14" t="n">
        <v>0</v>
      </c>
      <c r="AC294" s="14" t="n">
        <v>0</v>
      </c>
      <c r="AD294" s="15" t="n">
        <f aca="false">H294*E294/1000</f>
        <v>0</v>
      </c>
      <c r="AE294" s="15" t="n">
        <f aca="false">I294*E294/1000</f>
        <v>0</v>
      </c>
      <c r="AF294" s="16" t="n">
        <f aca="false">ROUND(S294+T294+U294+V294-W294,2)</f>
        <v>0</v>
      </c>
      <c r="AG294" s="16" t="n">
        <f aca="false">ROUND(X294-W294-Y294,2)</f>
        <v>0</v>
      </c>
    </row>
    <row r="295" customFormat="false" ht="15" hidden="false" customHeight="false" outlineLevel="0" collapsed="false">
      <c r="A295" s="13" t="s">
        <v>217</v>
      </c>
      <c r="B295" s="13" t="s">
        <v>291</v>
      </c>
      <c r="C295" s="13" t="s">
        <v>268</v>
      </c>
      <c r="D295" s="13" t="s">
        <v>296</v>
      </c>
      <c r="E295" s="14" t="n">
        <v>74</v>
      </c>
      <c r="F295" s="14" t="n">
        <v>18</v>
      </c>
      <c r="G295" s="14" t="n">
        <v>1.332</v>
      </c>
      <c r="H295" s="14"/>
      <c r="I295" s="14"/>
      <c r="J295" s="14" t="n">
        <v>52.98</v>
      </c>
      <c r="K295" s="14" t="n">
        <v>133.02</v>
      </c>
      <c r="L295" s="14" t="n">
        <v>1.81</v>
      </c>
      <c r="M295" s="14" t="n">
        <v>11.5</v>
      </c>
      <c r="N295" s="14" t="n">
        <v>3.05</v>
      </c>
      <c r="O295" s="14" t="n">
        <v>0.59</v>
      </c>
      <c r="P295" s="14" t="n">
        <v>1</v>
      </c>
      <c r="Q295" s="14"/>
      <c r="R295" s="14" t="n">
        <v>1.1</v>
      </c>
      <c r="S295" s="14" t="n">
        <v>152.07</v>
      </c>
      <c r="T295" s="14" t="n">
        <v>0.9</v>
      </c>
      <c r="U295" s="14" t="n">
        <v>10</v>
      </c>
      <c r="V295" s="14" t="n">
        <v>21.66</v>
      </c>
      <c r="W295" s="14" t="n">
        <v>184.63</v>
      </c>
      <c r="X295" s="14" t="n">
        <v>250.79</v>
      </c>
      <c r="Y295" s="14" t="n">
        <v>66.16</v>
      </c>
      <c r="Z295" s="14" t="n">
        <v>0.88</v>
      </c>
      <c r="AA295" s="14" t="n">
        <v>0</v>
      </c>
      <c r="AB295" s="14" t="n">
        <v>0</v>
      </c>
      <c r="AC295" s="14" t="n">
        <v>0</v>
      </c>
      <c r="AD295" s="15" t="n">
        <f aca="false">H295*E295/1000</f>
        <v>0</v>
      </c>
      <c r="AE295" s="15" t="n">
        <f aca="false">I295*E295/1000</f>
        <v>0</v>
      </c>
      <c r="AF295" s="16" t="n">
        <f aca="false">ROUND(S295+T295+U295+V295-W295,2)</f>
        <v>0</v>
      </c>
      <c r="AG295" s="16" t="n">
        <f aca="false">ROUND(X295-W295-Y295,2)</f>
        <v>0</v>
      </c>
    </row>
    <row r="296" customFormat="false" ht="15" hidden="false" customHeight="false" outlineLevel="0" collapsed="false">
      <c r="A296" s="13" t="s">
        <v>217</v>
      </c>
      <c r="B296" s="13" t="s">
        <v>291</v>
      </c>
      <c r="C296" s="13" t="s">
        <v>269</v>
      </c>
      <c r="D296" s="13" t="s">
        <v>220</v>
      </c>
      <c r="E296" s="14" t="n">
        <v>18.75</v>
      </c>
      <c r="F296" s="14" t="n">
        <v>4</v>
      </c>
      <c r="G296" s="14" t="n">
        <v>0.075</v>
      </c>
      <c r="H296" s="14"/>
      <c r="I296" s="14"/>
      <c r="J296" s="14" t="n">
        <v>59.61</v>
      </c>
      <c r="K296" s="14" t="n">
        <v>137.3</v>
      </c>
      <c r="L296" s="14" t="n">
        <v>1.61</v>
      </c>
      <c r="M296" s="14" t="n">
        <v>19.34</v>
      </c>
      <c r="N296" s="14" t="n">
        <v>4</v>
      </c>
      <c r="O296" s="14" t="n">
        <v>0.59</v>
      </c>
      <c r="P296" s="14" t="n">
        <v>1.5</v>
      </c>
      <c r="Q296" s="14"/>
      <c r="R296" s="14" t="n">
        <v>1.4</v>
      </c>
      <c r="S296" s="14" t="n">
        <v>165.74</v>
      </c>
      <c r="T296" s="14" t="n">
        <v>0.9</v>
      </c>
      <c r="U296" s="14" t="n">
        <v>10</v>
      </c>
      <c r="V296" s="14" t="n">
        <v>20.31</v>
      </c>
      <c r="W296" s="14" t="n">
        <v>196.96</v>
      </c>
      <c r="X296" s="14" t="n">
        <v>251.57</v>
      </c>
      <c r="Y296" s="14" t="n">
        <v>54.61</v>
      </c>
      <c r="Z296" s="14" t="n">
        <v>0.04</v>
      </c>
      <c r="AA296" s="14" t="n">
        <v>0</v>
      </c>
      <c r="AB296" s="14" t="n">
        <v>0</v>
      </c>
      <c r="AC296" s="14" t="n">
        <v>0</v>
      </c>
      <c r="AD296" s="15" t="n">
        <f aca="false">H296*E296/1000</f>
        <v>0</v>
      </c>
      <c r="AE296" s="15" t="n">
        <f aca="false">I296*E296/1000</f>
        <v>0</v>
      </c>
      <c r="AF296" s="16" t="n">
        <f aca="false">ROUND(S296+T296+U296+V296-W296,2)</f>
        <v>-0.01</v>
      </c>
      <c r="AG296" s="16" t="n">
        <f aca="false">ROUND(X296-W296-Y296,2)</f>
        <v>0</v>
      </c>
    </row>
    <row r="297" customFormat="false" ht="15" hidden="false" customHeight="false" outlineLevel="0" collapsed="false">
      <c r="A297" s="13" t="s">
        <v>217</v>
      </c>
      <c r="B297" s="13" t="s">
        <v>291</v>
      </c>
      <c r="C297" s="13" t="s">
        <v>269</v>
      </c>
      <c r="D297" s="13" t="s">
        <v>221</v>
      </c>
      <c r="E297" s="14" t="n">
        <v>25</v>
      </c>
      <c r="F297" s="14" t="n">
        <v>118</v>
      </c>
      <c r="G297" s="14" t="n">
        <v>2.95</v>
      </c>
      <c r="H297" s="14"/>
      <c r="I297" s="14"/>
      <c r="J297" s="14" t="n">
        <v>63.85</v>
      </c>
      <c r="K297" s="14" t="n">
        <v>136.73</v>
      </c>
      <c r="L297" s="14" t="n">
        <v>1.5</v>
      </c>
      <c r="M297" s="14" t="n">
        <v>16.65</v>
      </c>
      <c r="N297" s="14" t="n">
        <v>4</v>
      </c>
      <c r="O297" s="14" t="n">
        <v>0.59</v>
      </c>
      <c r="P297" s="14" t="n">
        <v>1.5</v>
      </c>
      <c r="Q297" s="14"/>
      <c r="R297" s="14" t="n">
        <v>1.4</v>
      </c>
      <c r="S297" s="14" t="n">
        <v>162.37</v>
      </c>
      <c r="T297" s="14" t="n">
        <v>0.9</v>
      </c>
      <c r="U297" s="14" t="n">
        <v>10</v>
      </c>
      <c r="V297" s="14" t="n">
        <v>19.6</v>
      </c>
      <c r="W297" s="14" t="n">
        <v>192.87</v>
      </c>
      <c r="X297" s="14" t="n">
        <v>251.57</v>
      </c>
      <c r="Y297" s="14" t="n">
        <v>58.7</v>
      </c>
      <c r="Z297" s="14" t="n">
        <v>1.73</v>
      </c>
      <c r="AA297" s="14" t="n">
        <v>0</v>
      </c>
      <c r="AB297" s="14" t="n">
        <v>0</v>
      </c>
      <c r="AC297" s="14" t="n">
        <v>0</v>
      </c>
      <c r="AD297" s="15" t="n">
        <f aca="false">H297*E297/1000</f>
        <v>0</v>
      </c>
      <c r="AE297" s="15" t="n">
        <f aca="false">I297*E297/1000</f>
        <v>0</v>
      </c>
      <c r="AF297" s="16" t="n">
        <f aca="false">ROUND(S297+T297+U297+V297-W297,2)</f>
        <v>0</v>
      </c>
      <c r="AG297" s="16" t="n">
        <f aca="false">ROUND(X297-W297-Y297,2)</f>
        <v>0</v>
      </c>
    </row>
    <row r="298" customFormat="false" ht="15" hidden="false" customHeight="false" outlineLevel="0" collapsed="false">
      <c r="A298" s="13" t="s">
        <v>217</v>
      </c>
      <c r="B298" s="13" t="s">
        <v>291</v>
      </c>
      <c r="C298" s="13" t="s">
        <v>269</v>
      </c>
      <c r="D298" s="13" t="s">
        <v>231</v>
      </c>
      <c r="E298" s="14" t="n">
        <v>26.17</v>
      </c>
      <c r="F298" s="14" t="n">
        <v>126</v>
      </c>
      <c r="G298" s="14" t="n">
        <v>3.3</v>
      </c>
      <c r="H298" s="14"/>
      <c r="I298" s="14"/>
      <c r="J298" s="14" t="n">
        <v>65.78</v>
      </c>
      <c r="K298" s="14" t="n">
        <v>136.49</v>
      </c>
      <c r="L298" s="14" t="n">
        <v>1.46</v>
      </c>
      <c r="M298" s="14" t="n">
        <v>16.27</v>
      </c>
      <c r="N298" s="14" t="n">
        <v>4</v>
      </c>
      <c r="O298" s="14" t="n">
        <v>0.59</v>
      </c>
      <c r="P298" s="14" t="n">
        <v>1.5</v>
      </c>
      <c r="Q298" s="14"/>
      <c r="R298" s="14" t="n">
        <v>1.4</v>
      </c>
      <c r="S298" s="14" t="n">
        <v>161.7</v>
      </c>
      <c r="T298" s="14" t="n">
        <v>0.9</v>
      </c>
      <c r="U298" s="14" t="n">
        <v>10</v>
      </c>
      <c r="V298" s="14" t="n">
        <v>19.3</v>
      </c>
      <c r="W298" s="14" t="n">
        <v>191.9</v>
      </c>
      <c r="X298" s="14" t="n">
        <v>251.57</v>
      </c>
      <c r="Y298" s="14" t="n">
        <v>59.67</v>
      </c>
      <c r="Z298" s="14" t="n">
        <v>1.97</v>
      </c>
      <c r="AA298" s="14" t="n">
        <v>0</v>
      </c>
      <c r="AB298" s="14" t="n">
        <v>0</v>
      </c>
      <c r="AC298" s="14" t="n">
        <v>0</v>
      </c>
      <c r="AD298" s="15" t="n">
        <f aca="false">H298*E298/1000</f>
        <v>0</v>
      </c>
      <c r="AE298" s="15" t="n">
        <f aca="false">I298*E298/1000</f>
        <v>0</v>
      </c>
      <c r="AF298" s="16" t="n">
        <f aca="false">ROUND(S298+T298+U298+V298-W298,2)</f>
        <v>0</v>
      </c>
      <c r="AG298" s="16" t="n">
        <f aca="false">ROUND(X298-W298-Y298,2)</f>
        <v>0</v>
      </c>
    </row>
    <row r="299" customFormat="false" ht="15" hidden="false" customHeight="false" outlineLevel="0" collapsed="false">
      <c r="A299" s="13" t="s">
        <v>217</v>
      </c>
      <c r="B299" s="13" t="s">
        <v>291</v>
      </c>
      <c r="C299" s="13" t="s">
        <v>269</v>
      </c>
      <c r="D299" s="13" t="s">
        <v>230</v>
      </c>
      <c r="E299" s="14" t="n">
        <v>34.5</v>
      </c>
      <c r="F299" s="14" t="n">
        <v>396</v>
      </c>
      <c r="G299" s="14" t="n">
        <v>13.66</v>
      </c>
      <c r="H299" s="14" t="n">
        <v>5</v>
      </c>
      <c r="I299" s="14"/>
      <c r="J299" s="14" t="n">
        <v>61.31</v>
      </c>
      <c r="K299" s="14" t="n">
        <v>137.06</v>
      </c>
      <c r="L299" s="14" t="n">
        <v>1.57</v>
      </c>
      <c r="M299" s="14" t="n">
        <v>13.91</v>
      </c>
      <c r="N299" s="14" t="n">
        <v>4</v>
      </c>
      <c r="O299" s="14" t="n">
        <v>0.59</v>
      </c>
      <c r="P299" s="14" t="n">
        <v>1</v>
      </c>
      <c r="Q299" s="14"/>
      <c r="R299" s="14" t="n">
        <v>1.4</v>
      </c>
      <c r="S299" s="14" t="n">
        <v>159.52</v>
      </c>
      <c r="T299" s="14" t="n">
        <v>0.9</v>
      </c>
      <c r="U299" s="14" t="n">
        <v>10</v>
      </c>
      <c r="V299" s="14" t="n">
        <v>20.01</v>
      </c>
      <c r="W299" s="14" t="n">
        <v>190.44</v>
      </c>
      <c r="X299" s="14" t="n">
        <v>251.57</v>
      </c>
      <c r="Y299" s="14" t="n">
        <v>61.13</v>
      </c>
      <c r="Z299" s="14" t="n">
        <v>8.17</v>
      </c>
      <c r="AA299" s="14" t="n">
        <v>0.07</v>
      </c>
      <c r="AB299" s="14" t="n">
        <v>0</v>
      </c>
      <c r="AC299" s="14" t="n">
        <v>0.11</v>
      </c>
      <c r="AD299" s="15" t="n">
        <f aca="false">H299*E299/1000</f>
        <v>0.1725</v>
      </c>
      <c r="AE299" s="15" t="n">
        <f aca="false">I299*E299/1000</f>
        <v>0</v>
      </c>
      <c r="AF299" s="16" t="n">
        <f aca="false">ROUND(S299+T299+U299+V299-W299,2)</f>
        <v>-0.01</v>
      </c>
      <c r="AG299" s="16" t="n">
        <f aca="false">ROUND(X299-W299-Y299,2)</f>
        <v>0</v>
      </c>
    </row>
    <row r="300" customFormat="false" ht="15" hidden="false" customHeight="false" outlineLevel="0" collapsed="false">
      <c r="A300" s="13" t="s">
        <v>217</v>
      </c>
      <c r="B300" s="13" t="s">
        <v>291</v>
      </c>
      <c r="C300" s="13" t="s">
        <v>269</v>
      </c>
      <c r="D300" s="13" t="s">
        <v>223</v>
      </c>
      <c r="E300" s="14" t="n">
        <v>29.7</v>
      </c>
      <c r="F300" s="14" t="n">
        <v>42</v>
      </c>
      <c r="G300" s="14" t="n">
        <v>1.2474</v>
      </c>
      <c r="H300" s="14"/>
      <c r="I300" s="14"/>
      <c r="J300" s="14" t="n">
        <v>65.43</v>
      </c>
      <c r="K300" s="14" t="n">
        <v>136.54</v>
      </c>
      <c r="L300" s="14" t="n">
        <v>1.47</v>
      </c>
      <c r="M300" s="14" t="n">
        <v>15.17</v>
      </c>
      <c r="N300" s="14" t="n">
        <v>4</v>
      </c>
      <c r="O300" s="14" t="n">
        <v>0.59</v>
      </c>
      <c r="P300" s="14" t="n">
        <v>1</v>
      </c>
      <c r="Q300" s="14"/>
      <c r="R300" s="14" t="n">
        <v>1.4</v>
      </c>
      <c r="S300" s="14" t="n">
        <v>160.16</v>
      </c>
      <c r="T300" s="14" t="n">
        <v>0.9</v>
      </c>
      <c r="U300" s="14" t="n">
        <v>10</v>
      </c>
      <c r="V300" s="14" t="n">
        <v>19.35</v>
      </c>
      <c r="W300" s="14" t="n">
        <v>190.41</v>
      </c>
      <c r="X300" s="14" t="n">
        <v>251.57</v>
      </c>
      <c r="Y300" s="14" t="n">
        <v>61.16</v>
      </c>
      <c r="Z300" s="14" t="n">
        <v>0.76</v>
      </c>
      <c r="AA300" s="14" t="n">
        <v>0</v>
      </c>
      <c r="AB300" s="14" t="n">
        <v>0</v>
      </c>
      <c r="AC300" s="14" t="n">
        <v>0</v>
      </c>
      <c r="AD300" s="15" t="n">
        <f aca="false">H300*E300/1000</f>
        <v>0</v>
      </c>
      <c r="AE300" s="15" t="n">
        <f aca="false">I300*E300/1000</f>
        <v>0</v>
      </c>
      <c r="AF300" s="16" t="n">
        <f aca="false">ROUND(S300+T300+U300+V300-W300,2)</f>
        <v>0</v>
      </c>
      <c r="AG300" s="16" t="n">
        <f aca="false">ROUND(X300-W300-Y300,2)</f>
        <v>0</v>
      </c>
    </row>
    <row r="301" customFormat="false" ht="15" hidden="false" customHeight="false" outlineLevel="0" collapsed="false">
      <c r="A301" s="13" t="s">
        <v>217</v>
      </c>
      <c r="B301" s="13" t="s">
        <v>291</v>
      </c>
      <c r="C301" s="13" t="s">
        <v>269</v>
      </c>
      <c r="D301" s="13" t="s">
        <v>243</v>
      </c>
      <c r="E301" s="14" t="n">
        <v>37.78</v>
      </c>
      <c r="F301" s="14" t="n">
        <v>196</v>
      </c>
      <c r="G301" s="14" t="n">
        <v>7.4049</v>
      </c>
      <c r="H301" s="14" t="n">
        <v>4</v>
      </c>
      <c r="I301" s="14"/>
      <c r="J301" s="14" t="n">
        <v>64.1</v>
      </c>
      <c r="K301" s="14" t="n">
        <v>136.7</v>
      </c>
      <c r="L301" s="14" t="n">
        <v>1.5</v>
      </c>
      <c r="M301" s="14" t="n">
        <v>17.2</v>
      </c>
      <c r="N301" s="14" t="n">
        <v>4</v>
      </c>
      <c r="O301" s="14" t="n">
        <v>0.59</v>
      </c>
      <c r="P301" s="14" t="n">
        <v>1</v>
      </c>
      <c r="Q301" s="14"/>
      <c r="R301" s="14" t="n">
        <v>1.4</v>
      </c>
      <c r="S301" s="14" t="n">
        <v>162.38</v>
      </c>
      <c r="T301" s="14" t="n">
        <v>0.9</v>
      </c>
      <c r="U301" s="14" t="n">
        <v>10</v>
      </c>
      <c r="V301" s="14" t="n">
        <v>19.56</v>
      </c>
      <c r="W301" s="14" t="n">
        <v>192.84</v>
      </c>
      <c r="X301" s="14" t="n">
        <v>251.57</v>
      </c>
      <c r="Y301" s="14" t="n">
        <v>58.73</v>
      </c>
      <c r="Z301" s="14" t="n">
        <v>4.19</v>
      </c>
      <c r="AA301" s="14" t="n">
        <v>0.07</v>
      </c>
      <c r="AB301" s="14" t="n">
        <v>0</v>
      </c>
      <c r="AC301" s="14" t="n">
        <v>0.09</v>
      </c>
      <c r="AD301" s="15" t="n">
        <f aca="false">H301*E301/1000</f>
        <v>0.15112</v>
      </c>
      <c r="AE301" s="15" t="n">
        <f aca="false">I301*E301/1000</f>
        <v>0</v>
      </c>
      <c r="AF301" s="16" t="n">
        <f aca="false">ROUND(S301+T301+U301+V301-W301,2)</f>
        <v>0</v>
      </c>
      <c r="AG301" s="16" t="n">
        <f aca="false">ROUND(X301-W301-Y301,2)</f>
        <v>0</v>
      </c>
    </row>
    <row r="302" customFormat="false" ht="15" hidden="false" customHeight="false" outlineLevel="0" collapsed="false">
      <c r="A302" s="13" t="s">
        <v>217</v>
      </c>
      <c r="B302" s="13" t="s">
        <v>291</v>
      </c>
      <c r="C302" s="13" t="s">
        <v>269</v>
      </c>
      <c r="D302" s="13" t="s">
        <v>289</v>
      </c>
      <c r="E302" s="14" t="n">
        <v>470</v>
      </c>
      <c r="F302" s="14" t="n">
        <v>56</v>
      </c>
      <c r="G302" s="14" t="n">
        <v>26.32</v>
      </c>
      <c r="H302" s="14"/>
      <c r="I302" s="14" t="n">
        <v>8</v>
      </c>
      <c r="J302" s="14" t="n">
        <v>66.3</v>
      </c>
      <c r="K302" s="14" t="n">
        <v>136.43</v>
      </c>
      <c r="L302" s="14" t="n">
        <v>1.45</v>
      </c>
      <c r="M302" s="14" t="n">
        <v>11.03</v>
      </c>
      <c r="N302" s="14" t="n">
        <v>4</v>
      </c>
      <c r="O302" s="14"/>
      <c r="P302" s="14" t="n">
        <v>1</v>
      </c>
      <c r="Q302" s="14"/>
      <c r="R302" s="14" t="n">
        <v>0.55</v>
      </c>
      <c r="S302" s="14" t="n">
        <v>154.46</v>
      </c>
      <c r="T302" s="14" t="n">
        <v>0.9</v>
      </c>
      <c r="U302" s="14" t="n">
        <v>10</v>
      </c>
      <c r="V302" s="14" t="n">
        <v>19.22</v>
      </c>
      <c r="W302" s="14" t="n">
        <v>184.59</v>
      </c>
      <c r="X302" s="14" t="n">
        <v>253.55</v>
      </c>
      <c r="Y302" s="14" t="n">
        <v>68.96</v>
      </c>
      <c r="Z302" s="14" t="n">
        <v>13.51</v>
      </c>
      <c r="AA302" s="14" t="n">
        <v>0</v>
      </c>
      <c r="AB302" s="14" t="n">
        <v>2.05</v>
      </c>
      <c r="AC302" s="14" t="n">
        <v>2.59</v>
      </c>
      <c r="AD302" s="15" t="n">
        <f aca="false">H302*E302/1000</f>
        <v>0</v>
      </c>
      <c r="AE302" s="15" t="n">
        <f aca="false">I302*E302/1000</f>
        <v>3.76</v>
      </c>
      <c r="AF302" s="16" t="n">
        <f aca="false">ROUND(S302+T302+U302+V302-W302,2)</f>
        <v>-0.01</v>
      </c>
      <c r="AG302" s="16" t="n">
        <f aca="false">ROUND(X302-W302-Y302,2)</f>
        <v>0</v>
      </c>
    </row>
    <row r="303" customFormat="false" ht="15" hidden="false" customHeight="false" outlineLevel="0" collapsed="false">
      <c r="A303" s="13" t="s">
        <v>217</v>
      </c>
      <c r="B303" s="13" t="s">
        <v>291</v>
      </c>
      <c r="C303" s="13" t="s">
        <v>269</v>
      </c>
      <c r="D303" s="13" t="s">
        <v>228</v>
      </c>
      <c r="E303" s="14" t="n">
        <v>28</v>
      </c>
      <c r="F303" s="14" t="n">
        <v>1</v>
      </c>
      <c r="G303" s="14" t="n">
        <v>0.028</v>
      </c>
      <c r="H303" s="14"/>
      <c r="I303" s="14"/>
      <c r="J303" s="14" t="n">
        <v>68</v>
      </c>
      <c r="K303" s="14" t="n">
        <v>136.24</v>
      </c>
      <c r="L303" s="14" t="n">
        <v>1.41</v>
      </c>
      <c r="M303" s="14" t="n">
        <v>28.5</v>
      </c>
      <c r="N303" s="14" t="n">
        <v>4</v>
      </c>
      <c r="O303" s="14" t="n">
        <v>0.59</v>
      </c>
      <c r="P303" s="14" t="n">
        <v>1</v>
      </c>
      <c r="Q303" s="14"/>
      <c r="R303" s="14" t="n">
        <v>1.4</v>
      </c>
      <c r="S303" s="14" t="n">
        <v>173.14</v>
      </c>
      <c r="T303" s="14" t="n">
        <v>0.9</v>
      </c>
      <c r="U303" s="14" t="n">
        <v>10</v>
      </c>
      <c r="V303" s="14" t="n">
        <v>18.98</v>
      </c>
      <c r="W303" s="14" t="n">
        <v>203.02</v>
      </c>
      <c r="X303" s="14" t="n">
        <v>251.57</v>
      </c>
      <c r="Y303" s="14" t="n">
        <v>48.55</v>
      </c>
      <c r="Z303" s="14" t="n">
        <v>0.01</v>
      </c>
      <c r="AA303" s="14" t="n">
        <v>0</v>
      </c>
      <c r="AB303" s="14" t="n">
        <v>0</v>
      </c>
      <c r="AC303" s="14" t="n">
        <v>0</v>
      </c>
      <c r="AD303" s="15" t="n">
        <f aca="false">H303*E303/1000</f>
        <v>0</v>
      </c>
      <c r="AE303" s="15" t="n">
        <f aca="false">I303*E303/1000</f>
        <v>0</v>
      </c>
      <c r="AF303" s="16" t="n">
        <f aca="false">ROUND(S303+T303+U303+V303-W303,2)</f>
        <v>0</v>
      </c>
      <c r="AG303" s="16" t="n">
        <f aca="false">ROUND(X303-W303-Y303,2)</f>
        <v>0</v>
      </c>
    </row>
    <row r="304" customFormat="false" ht="15" hidden="false" customHeight="false" outlineLevel="0" collapsed="false">
      <c r="A304" s="13" t="s">
        <v>217</v>
      </c>
      <c r="B304" s="13" t="s">
        <v>291</v>
      </c>
      <c r="C304" s="13" t="s">
        <v>269</v>
      </c>
      <c r="D304" s="13" t="s">
        <v>224</v>
      </c>
      <c r="E304" s="14" t="n">
        <v>39.5</v>
      </c>
      <c r="F304" s="14" t="n">
        <v>220</v>
      </c>
      <c r="G304" s="14" t="n">
        <v>8.69</v>
      </c>
      <c r="H304" s="14"/>
      <c r="I304" s="14"/>
      <c r="J304" s="14" t="n">
        <v>58.02</v>
      </c>
      <c r="K304" s="14" t="n">
        <v>137.54</v>
      </c>
      <c r="L304" s="14" t="n">
        <v>1.65</v>
      </c>
      <c r="M304" s="14" t="n">
        <v>13.31</v>
      </c>
      <c r="N304" s="14" t="n">
        <v>4</v>
      </c>
      <c r="O304" s="14" t="n">
        <v>0.59</v>
      </c>
      <c r="P304" s="14" t="n">
        <v>1</v>
      </c>
      <c r="Q304" s="14"/>
      <c r="R304" s="14" t="n">
        <v>1.4</v>
      </c>
      <c r="S304" s="14" t="n">
        <v>159.49</v>
      </c>
      <c r="T304" s="14" t="n">
        <v>0.9</v>
      </c>
      <c r="U304" s="14" t="n">
        <v>10</v>
      </c>
      <c r="V304" s="14" t="n">
        <v>20.61</v>
      </c>
      <c r="W304" s="14" t="n">
        <v>191</v>
      </c>
      <c r="X304" s="14" t="n">
        <v>251.57</v>
      </c>
      <c r="Y304" s="14" t="n">
        <v>60.57</v>
      </c>
      <c r="Z304" s="14" t="n">
        <v>5.26</v>
      </c>
      <c r="AA304" s="14" t="n">
        <v>0</v>
      </c>
      <c r="AB304" s="14" t="n">
        <v>0</v>
      </c>
      <c r="AC304" s="14" t="n">
        <v>0</v>
      </c>
      <c r="AD304" s="15" t="n">
        <f aca="false">H304*E304/1000</f>
        <v>0</v>
      </c>
      <c r="AE304" s="15" t="n">
        <f aca="false">I304*E304/1000</f>
        <v>0</v>
      </c>
      <c r="AF304" s="16" t="n">
        <f aca="false">ROUND(S304+T304+U304+V304-W304,2)</f>
        <v>0</v>
      </c>
      <c r="AG304" s="16" t="n">
        <f aca="false">ROUND(X304-W304-Y304,2)</f>
        <v>0</v>
      </c>
    </row>
    <row r="305" customFormat="false" ht="15" hidden="false" customHeight="false" outlineLevel="0" collapsed="false">
      <c r="A305" s="13" t="s">
        <v>217</v>
      </c>
      <c r="B305" s="13" t="s">
        <v>291</v>
      </c>
      <c r="C305" s="13" t="s">
        <v>269</v>
      </c>
      <c r="D305" s="13" t="s">
        <v>227</v>
      </c>
      <c r="E305" s="14" t="n">
        <v>18</v>
      </c>
      <c r="F305" s="14" t="n">
        <v>1</v>
      </c>
      <c r="G305" s="14" t="n">
        <v>0.018</v>
      </c>
      <c r="H305" s="14"/>
      <c r="I305" s="14"/>
      <c r="J305" s="14" t="n">
        <v>64.17</v>
      </c>
      <c r="K305" s="14" t="n">
        <v>136.69</v>
      </c>
      <c r="L305" s="14" t="n">
        <v>1.5</v>
      </c>
      <c r="M305" s="14" t="n">
        <v>17.19</v>
      </c>
      <c r="N305" s="14" t="n">
        <v>4</v>
      </c>
      <c r="O305" s="14" t="n">
        <v>0.59</v>
      </c>
      <c r="P305" s="14" t="n">
        <v>1</v>
      </c>
      <c r="Q305" s="14"/>
      <c r="R305" s="14" t="n">
        <v>1.4</v>
      </c>
      <c r="S305" s="14" t="n">
        <v>162.37</v>
      </c>
      <c r="T305" s="14" t="n">
        <v>0.9</v>
      </c>
      <c r="U305" s="14" t="n">
        <v>10</v>
      </c>
      <c r="V305" s="14" t="n">
        <v>19.55</v>
      </c>
      <c r="W305" s="14" t="n">
        <v>192.81</v>
      </c>
      <c r="X305" s="14" t="n">
        <v>251.57</v>
      </c>
      <c r="Y305" s="14" t="n">
        <v>58.76</v>
      </c>
      <c r="Z305" s="14" t="n">
        <v>0.01</v>
      </c>
      <c r="AA305" s="14" t="n">
        <v>0</v>
      </c>
      <c r="AB305" s="14" t="n">
        <v>0</v>
      </c>
      <c r="AC305" s="14" t="n">
        <v>0</v>
      </c>
      <c r="AD305" s="15" t="n">
        <f aca="false">H305*E305/1000</f>
        <v>0</v>
      </c>
      <c r="AE305" s="15" t="n">
        <f aca="false">I305*E305/1000</f>
        <v>0</v>
      </c>
      <c r="AF305" s="16" t="n">
        <f aca="false">ROUND(S305+T305+U305+V305-W305,2)</f>
        <v>0.01</v>
      </c>
      <c r="AG305" s="16" t="n">
        <f aca="false">ROUND(X305-W305-Y305,2)</f>
        <v>0</v>
      </c>
    </row>
    <row r="306" customFormat="false" ht="15" hidden="false" customHeight="false" outlineLevel="0" collapsed="false">
      <c r="A306" s="13" t="s">
        <v>217</v>
      </c>
      <c r="B306" s="13" t="s">
        <v>291</v>
      </c>
      <c r="C306" s="13" t="s">
        <v>269</v>
      </c>
      <c r="D306" s="13" t="s">
        <v>225</v>
      </c>
      <c r="E306" s="14" t="n">
        <v>28.92</v>
      </c>
      <c r="F306" s="14" t="n">
        <v>96</v>
      </c>
      <c r="G306" s="14" t="n">
        <v>2.7763</v>
      </c>
      <c r="H306" s="14"/>
      <c r="I306" s="14"/>
      <c r="J306" s="14" t="n">
        <v>63.01</v>
      </c>
      <c r="K306" s="14" t="n">
        <v>136.84</v>
      </c>
      <c r="L306" s="14" t="n">
        <v>1.52</v>
      </c>
      <c r="M306" s="14" t="n">
        <v>14.92</v>
      </c>
      <c r="N306" s="14" t="n">
        <v>4</v>
      </c>
      <c r="O306" s="14" t="n">
        <v>0.59</v>
      </c>
      <c r="P306" s="14" t="n">
        <v>1</v>
      </c>
      <c r="Q306" s="14"/>
      <c r="R306" s="14" t="n">
        <v>1.4</v>
      </c>
      <c r="S306" s="14" t="n">
        <v>160.26</v>
      </c>
      <c r="T306" s="14" t="n">
        <v>0.9</v>
      </c>
      <c r="U306" s="14" t="n">
        <v>10</v>
      </c>
      <c r="V306" s="14" t="n">
        <v>19.73</v>
      </c>
      <c r="W306" s="14" t="n">
        <v>190.89</v>
      </c>
      <c r="X306" s="14" t="n">
        <v>251.57</v>
      </c>
      <c r="Y306" s="14" t="n">
        <v>60.68</v>
      </c>
      <c r="Z306" s="14" t="n">
        <v>1.68</v>
      </c>
      <c r="AA306" s="14" t="n">
        <v>0</v>
      </c>
      <c r="AB306" s="14" t="n">
        <v>0</v>
      </c>
      <c r="AC306" s="14" t="n">
        <v>0</v>
      </c>
      <c r="AD306" s="15" t="n">
        <f aca="false">H306*E306/1000</f>
        <v>0</v>
      </c>
      <c r="AE306" s="15" t="n">
        <f aca="false">I306*E306/1000</f>
        <v>0</v>
      </c>
      <c r="AF306" s="16" t="n">
        <f aca="false">ROUND(S306+T306+U306+V306-W306,2)</f>
        <v>0</v>
      </c>
      <c r="AG306" s="16" t="n">
        <f aca="false">ROUND(X306-W306-Y306,2)</f>
        <v>0</v>
      </c>
    </row>
    <row r="307" customFormat="false" ht="15" hidden="false" customHeight="false" outlineLevel="0" collapsed="false">
      <c r="A307" s="13" t="s">
        <v>217</v>
      </c>
      <c r="B307" s="13" t="s">
        <v>291</v>
      </c>
      <c r="C307" s="13" t="s">
        <v>269</v>
      </c>
      <c r="D307" s="13" t="s">
        <v>290</v>
      </c>
      <c r="E307" s="14" t="n">
        <v>30.7</v>
      </c>
      <c r="F307" s="14" t="n">
        <v>6</v>
      </c>
      <c r="G307" s="14" t="n">
        <v>0.1842</v>
      </c>
      <c r="H307" s="14" t="n">
        <v>6</v>
      </c>
      <c r="I307" s="14" t="n">
        <v>2</v>
      </c>
      <c r="J307" s="14" t="n">
        <v>68.18</v>
      </c>
      <c r="K307" s="14" t="n">
        <v>136.22</v>
      </c>
      <c r="L307" s="14" t="n">
        <v>1.41</v>
      </c>
      <c r="M307" s="14" t="n">
        <v>16.39</v>
      </c>
      <c r="N307" s="14" t="n">
        <v>4</v>
      </c>
      <c r="O307" s="14" t="n">
        <v>0.59</v>
      </c>
      <c r="P307" s="14" t="n">
        <v>1</v>
      </c>
      <c r="Q307" s="14"/>
      <c r="R307" s="14" t="n">
        <v>1.4</v>
      </c>
      <c r="S307" s="14" t="n">
        <v>161</v>
      </c>
      <c r="T307" s="14" t="n">
        <v>0.9</v>
      </c>
      <c r="U307" s="14" t="n">
        <v>10</v>
      </c>
      <c r="V307" s="14" t="n">
        <v>18.96</v>
      </c>
      <c r="W307" s="14" t="n">
        <v>190.86</v>
      </c>
      <c r="X307" s="14" t="n">
        <v>251.57</v>
      </c>
      <c r="Y307" s="14" t="n">
        <v>60.71</v>
      </c>
      <c r="Z307" s="14" t="n">
        <v>-0.15</v>
      </c>
      <c r="AA307" s="14" t="n">
        <v>0.08</v>
      </c>
      <c r="AB307" s="14" t="n">
        <v>0.04</v>
      </c>
      <c r="AC307" s="14" t="n">
        <v>0.15</v>
      </c>
      <c r="AD307" s="15" t="n">
        <f aca="false">H307*E307/1000</f>
        <v>0.1842</v>
      </c>
      <c r="AE307" s="15" t="n">
        <f aca="false">I307*E307/1000</f>
        <v>0.0614</v>
      </c>
      <c r="AF307" s="16" t="n">
        <f aca="false">ROUND(S307+T307+U307+V307-W307,2)</f>
        <v>0</v>
      </c>
      <c r="AG307" s="16" t="n">
        <f aca="false">ROUND(X307-W307-Y307,2)</f>
        <v>0</v>
      </c>
    </row>
    <row r="308" customFormat="false" ht="15" hidden="false" customHeight="false" outlineLevel="0" collapsed="false">
      <c r="A308" s="13" t="s">
        <v>217</v>
      </c>
      <c r="B308" s="13" t="s">
        <v>291</v>
      </c>
      <c r="C308" s="13" t="s">
        <v>235</v>
      </c>
      <c r="D308" s="13" t="s">
        <v>267</v>
      </c>
      <c r="E308" s="14" t="n">
        <v>30.35</v>
      </c>
      <c r="F308" s="14" t="n">
        <v>100</v>
      </c>
      <c r="G308" s="14" t="n">
        <v>3.04</v>
      </c>
      <c r="H308" s="14"/>
      <c r="I308" s="14"/>
      <c r="J308" s="14" t="n">
        <v>63.14</v>
      </c>
      <c r="K308" s="14" t="n">
        <v>140.3</v>
      </c>
      <c r="L308" s="14" t="n">
        <v>1.52</v>
      </c>
      <c r="M308" s="14" t="n">
        <v>16.42</v>
      </c>
      <c r="N308" s="14" t="n">
        <v>4.93</v>
      </c>
      <c r="O308" s="14" t="n">
        <v>0.59</v>
      </c>
      <c r="P308" s="14" t="n">
        <v>1.5</v>
      </c>
      <c r="Q308" s="14"/>
      <c r="R308" s="14" t="n">
        <v>1.4</v>
      </c>
      <c r="S308" s="14" t="n">
        <v>166.65</v>
      </c>
      <c r="T308" s="14" t="n">
        <v>0.9</v>
      </c>
      <c r="U308" s="14" t="n">
        <v>10</v>
      </c>
      <c r="V308" s="14" t="n">
        <v>19.71</v>
      </c>
      <c r="W308" s="14" t="n">
        <v>197.26</v>
      </c>
      <c r="X308" s="14" t="n">
        <v>251.57</v>
      </c>
      <c r="Y308" s="14" t="n">
        <v>54.31</v>
      </c>
      <c r="Z308" s="14" t="n">
        <v>1.65</v>
      </c>
      <c r="AA308" s="14" t="n">
        <v>0</v>
      </c>
      <c r="AB308" s="14" t="n">
        <v>0</v>
      </c>
      <c r="AC308" s="14" t="n">
        <v>0</v>
      </c>
      <c r="AD308" s="15" t="n">
        <f aca="false">H308*E308/1000</f>
        <v>0</v>
      </c>
      <c r="AE308" s="15" t="n">
        <f aca="false">I308*E308/1000</f>
        <v>0</v>
      </c>
      <c r="AF308" s="16" t="n">
        <f aca="false">ROUND(S308+T308+U308+V308-W308,2)</f>
        <v>0</v>
      </c>
      <c r="AG308" s="16" t="n">
        <f aca="false">ROUND(X308-W308-Y308,2)</f>
        <v>0</v>
      </c>
    </row>
    <row r="309" customFormat="false" ht="15" hidden="false" customHeight="false" outlineLevel="0" collapsed="false">
      <c r="A309" s="13" t="s">
        <v>217</v>
      </c>
      <c r="B309" s="13" t="s">
        <v>291</v>
      </c>
      <c r="C309" s="13" t="s">
        <v>235</v>
      </c>
      <c r="D309" s="13" t="s">
        <v>265</v>
      </c>
      <c r="E309" s="14" t="n">
        <v>17</v>
      </c>
      <c r="F309" s="14" t="n">
        <v>344</v>
      </c>
      <c r="G309" s="14" t="n">
        <v>5.85</v>
      </c>
      <c r="H309" s="14" t="n">
        <v>13</v>
      </c>
      <c r="I309" s="14"/>
      <c r="J309" s="14" t="n">
        <v>62.89</v>
      </c>
      <c r="K309" s="14" t="n">
        <v>140.33</v>
      </c>
      <c r="L309" s="14" t="n">
        <v>1.53</v>
      </c>
      <c r="M309" s="14" t="n">
        <v>20.25</v>
      </c>
      <c r="N309" s="14" t="n">
        <v>4.93</v>
      </c>
      <c r="O309" s="14" t="n">
        <v>0.59</v>
      </c>
      <c r="P309" s="14" t="n">
        <v>1.5</v>
      </c>
      <c r="Q309" s="14"/>
      <c r="R309" s="14" t="n">
        <v>1.4</v>
      </c>
      <c r="S309" s="14" t="n">
        <v>170.53</v>
      </c>
      <c r="T309" s="14" t="n">
        <v>0.9</v>
      </c>
      <c r="U309" s="14" t="n">
        <v>10</v>
      </c>
      <c r="V309" s="14" t="n">
        <v>19.75</v>
      </c>
      <c r="W309" s="14" t="n">
        <v>201.18</v>
      </c>
      <c r="X309" s="14" t="n">
        <v>251.57</v>
      </c>
      <c r="Y309" s="14" t="n">
        <v>50.39</v>
      </c>
      <c r="Z309" s="14" t="n">
        <v>2.73</v>
      </c>
      <c r="AA309" s="14" t="n">
        <v>0.11</v>
      </c>
      <c r="AB309" s="14" t="n">
        <v>0</v>
      </c>
      <c r="AC309" s="14" t="n">
        <v>0.11</v>
      </c>
      <c r="AD309" s="15" t="n">
        <f aca="false">H309*E309/1000</f>
        <v>0.221</v>
      </c>
      <c r="AE309" s="15" t="n">
        <f aca="false">I309*E309/1000</f>
        <v>0</v>
      </c>
      <c r="AF309" s="16" t="n">
        <f aca="false">ROUND(S309+T309+U309+V309-W309,2)</f>
        <v>0</v>
      </c>
      <c r="AG309" s="16" t="n">
        <f aca="false">ROUND(X309-W309-Y309,2)</f>
        <v>0</v>
      </c>
    </row>
    <row r="310" customFormat="false" ht="15" hidden="false" customHeight="false" outlineLevel="0" collapsed="false">
      <c r="A310" s="13" t="s">
        <v>217</v>
      </c>
      <c r="B310" s="13" t="s">
        <v>291</v>
      </c>
      <c r="C310" s="13" t="s">
        <v>235</v>
      </c>
      <c r="D310" s="13" t="s">
        <v>221</v>
      </c>
      <c r="E310" s="14" t="n">
        <v>25</v>
      </c>
      <c r="F310" s="14" t="n">
        <v>11</v>
      </c>
      <c r="G310" s="14" t="n">
        <v>0.275</v>
      </c>
      <c r="H310" s="14" t="n">
        <v>8</v>
      </c>
      <c r="I310" s="14"/>
      <c r="J310" s="14" t="n">
        <v>63.85</v>
      </c>
      <c r="K310" s="14" t="n">
        <v>140.21</v>
      </c>
      <c r="L310" s="14" t="n">
        <v>1.5</v>
      </c>
      <c r="M310" s="14" t="n">
        <v>16.65</v>
      </c>
      <c r="N310" s="14" t="n">
        <v>4</v>
      </c>
      <c r="O310" s="14" t="n">
        <v>0.59</v>
      </c>
      <c r="P310" s="14" t="n">
        <v>1.5</v>
      </c>
      <c r="Q310" s="14"/>
      <c r="R310" s="14" t="n">
        <v>1.4</v>
      </c>
      <c r="S310" s="14" t="n">
        <v>165.85</v>
      </c>
      <c r="T310" s="14" t="n">
        <v>0.9</v>
      </c>
      <c r="U310" s="14" t="n">
        <v>10</v>
      </c>
      <c r="V310" s="14" t="n">
        <v>19.6</v>
      </c>
      <c r="W310" s="14" t="n">
        <v>196.34</v>
      </c>
      <c r="X310" s="14" t="n">
        <v>251.57</v>
      </c>
      <c r="Y310" s="14" t="n">
        <v>55.23</v>
      </c>
      <c r="Z310" s="14" t="n">
        <v>-0.05</v>
      </c>
      <c r="AA310" s="14" t="n">
        <v>0.09</v>
      </c>
      <c r="AB310" s="14" t="n">
        <v>0</v>
      </c>
      <c r="AC310" s="14" t="n">
        <v>0.11</v>
      </c>
      <c r="AD310" s="15" t="n">
        <f aca="false">H310*E310/1000</f>
        <v>0.2</v>
      </c>
      <c r="AE310" s="15" t="n">
        <f aca="false">I310*E310/1000</f>
        <v>0</v>
      </c>
      <c r="AF310" s="16" t="n">
        <f aca="false">ROUND(S310+T310+U310+V310-W310,2)</f>
        <v>0.01</v>
      </c>
      <c r="AG310" s="16" t="n">
        <f aca="false">ROUND(X310-W310-Y310,2)</f>
        <v>0</v>
      </c>
    </row>
    <row r="311" customFormat="false" ht="15" hidden="false" customHeight="false" outlineLevel="0" collapsed="false">
      <c r="A311" s="13" t="s">
        <v>217</v>
      </c>
      <c r="B311" s="13" t="s">
        <v>291</v>
      </c>
      <c r="C311" s="13" t="s">
        <v>235</v>
      </c>
      <c r="D311" s="13" t="s">
        <v>231</v>
      </c>
      <c r="E311" s="14" t="n">
        <v>26.17</v>
      </c>
      <c r="F311" s="14" t="n">
        <v>438</v>
      </c>
      <c r="G311" s="14" t="n">
        <v>11.46</v>
      </c>
      <c r="H311" s="14" t="n">
        <v>30</v>
      </c>
      <c r="I311" s="14" t="n">
        <v>2</v>
      </c>
      <c r="J311" s="14" t="n">
        <v>65.78</v>
      </c>
      <c r="K311" s="14" t="n">
        <v>139.96</v>
      </c>
      <c r="L311" s="14" t="n">
        <v>1.46</v>
      </c>
      <c r="M311" s="14" t="n">
        <v>16.27</v>
      </c>
      <c r="N311" s="14" t="n">
        <v>4</v>
      </c>
      <c r="O311" s="14" t="n">
        <v>0.59</v>
      </c>
      <c r="P311" s="14" t="n">
        <v>1.5</v>
      </c>
      <c r="Q311" s="14"/>
      <c r="R311" s="14" t="n">
        <v>1.4</v>
      </c>
      <c r="S311" s="14" t="n">
        <v>165.17</v>
      </c>
      <c r="T311" s="14" t="n">
        <v>0.9</v>
      </c>
      <c r="U311" s="14" t="n">
        <v>10</v>
      </c>
      <c r="V311" s="14" t="n">
        <v>19.3</v>
      </c>
      <c r="W311" s="14" t="n">
        <v>195.37</v>
      </c>
      <c r="X311" s="14" t="n">
        <v>251.57</v>
      </c>
      <c r="Y311" s="14" t="n">
        <v>56.2</v>
      </c>
      <c r="Z311" s="14" t="n">
        <v>5.59</v>
      </c>
      <c r="AA311" s="14" t="n">
        <v>0.34</v>
      </c>
      <c r="AB311" s="14" t="n">
        <v>0.03</v>
      </c>
      <c r="AC311" s="14" t="n">
        <v>0.47</v>
      </c>
      <c r="AD311" s="15" t="n">
        <f aca="false">H311*E311/1000</f>
        <v>0.7851</v>
      </c>
      <c r="AE311" s="15" t="n">
        <f aca="false">I311*E311/1000</f>
        <v>0.05234</v>
      </c>
      <c r="AF311" s="16" t="n">
        <f aca="false">ROUND(S311+T311+U311+V311-W311,2)</f>
        <v>0</v>
      </c>
      <c r="AG311" s="16" t="n">
        <f aca="false">ROUND(X311-W311-Y311,2)</f>
        <v>0</v>
      </c>
    </row>
    <row r="312" customFormat="false" ht="15" hidden="false" customHeight="false" outlineLevel="0" collapsed="false">
      <c r="A312" s="13" t="s">
        <v>217</v>
      </c>
      <c r="B312" s="13" t="s">
        <v>291</v>
      </c>
      <c r="C312" s="13" t="s">
        <v>235</v>
      </c>
      <c r="D312" s="13" t="s">
        <v>230</v>
      </c>
      <c r="E312" s="14" t="n">
        <v>34.5</v>
      </c>
      <c r="F312" s="14" t="n">
        <v>646</v>
      </c>
      <c r="G312" s="14" t="n">
        <v>22.29</v>
      </c>
      <c r="H312" s="14" t="n">
        <v>57</v>
      </c>
      <c r="I312" s="14" t="n">
        <v>8</v>
      </c>
      <c r="J312" s="14" t="n">
        <v>61.31</v>
      </c>
      <c r="K312" s="14" t="n">
        <v>140.55</v>
      </c>
      <c r="L312" s="14" t="n">
        <v>1.57</v>
      </c>
      <c r="M312" s="14" t="n">
        <v>13.91</v>
      </c>
      <c r="N312" s="14" t="n">
        <v>4</v>
      </c>
      <c r="O312" s="14" t="n">
        <v>0.59</v>
      </c>
      <c r="P312" s="14" t="n">
        <v>1</v>
      </c>
      <c r="Q312" s="14"/>
      <c r="R312" s="14" t="n">
        <v>1.4</v>
      </c>
      <c r="S312" s="14" t="n">
        <v>163.01</v>
      </c>
      <c r="T312" s="14" t="n">
        <v>0.9</v>
      </c>
      <c r="U312" s="14" t="n">
        <v>10</v>
      </c>
      <c r="V312" s="14" t="n">
        <v>20.01</v>
      </c>
      <c r="W312" s="14" t="n">
        <v>193.92</v>
      </c>
      <c r="X312" s="14" t="n">
        <v>251.57</v>
      </c>
      <c r="Y312" s="14" t="n">
        <v>57.65</v>
      </c>
      <c r="Z312" s="14" t="n">
        <v>10.55</v>
      </c>
      <c r="AA312" s="14" t="n">
        <v>0.84</v>
      </c>
      <c r="AB312" s="14" t="n">
        <v>0.16</v>
      </c>
      <c r="AC312" s="14" t="n">
        <v>1.29</v>
      </c>
      <c r="AD312" s="15" t="n">
        <f aca="false">H312*E312/1000</f>
        <v>1.9665</v>
      </c>
      <c r="AE312" s="15" t="n">
        <f aca="false">I312*E312/1000</f>
        <v>0.276</v>
      </c>
      <c r="AF312" s="16" t="n">
        <f aca="false">ROUND(S312+T312+U312+V312-W312,2)</f>
        <v>0</v>
      </c>
      <c r="AG312" s="16" t="n">
        <f aca="false">ROUND(X312-W312-Y312,2)</f>
        <v>0</v>
      </c>
    </row>
    <row r="313" customFormat="false" ht="15" hidden="false" customHeight="false" outlineLevel="0" collapsed="false">
      <c r="A313" s="13" t="s">
        <v>217</v>
      </c>
      <c r="B313" s="13" t="s">
        <v>291</v>
      </c>
      <c r="C313" s="13" t="s">
        <v>235</v>
      </c>
      <c r="D313" s="13" t="s">
        <v>266</v>
      </c>
      <c r="E313" s="14" t="n">
        <v>32</v>
      </c>
      <c r="F313" s="14" t="n">
        <v>56</v>
      </c>
      <c r="G313" s="14" t="n">
        <v>1.79</v>
      </c>
      <c r="H313" s="14" t="n">
        <v>2</v>
      </c>
      <c r="I313" s="14"/>
      <c r="J313" s="14" t="n">
        <v>64.35</v>
      </c>
      <c r="K313" s="14" t="n">
        <v>140.14</v>
      </c>
      <c r="L313" s="14" t="n">
        <v>1.49</v>
      </c>
      <c r="M313" s="14" t="n">
        <v>16.74</v>
      </c>
      <c r="N313" s="14" t="n">
        <v>4.93</v>
      </c>
      <c r="O313" s="14" t="n">
        <v>0.59</v>
      </c>
      <c r="P313" s="14" t="n">
        <v>1</v>
      </c>
      <c r="Q313" s="14"/>
      <c r="R313" s="14" t="n">
        <v>1.4</v>
      </c>
      <c r="S313" s="14" t="n">
        <v>166.29</v>
      </c>
      <c r="T313" s="14" t="n">
        <v>0.9</v>
      </c>
      <c r="U313" s="14" t="n">
        <v>10</v>
      </c>
      <c r="V313" s="14" t="n">
        <v>19.52</v>
      </c>
      <c r="W313" s="14" t="n">
        <v>196.7</v>
      </c>
      <c r="X313" s="14" t="n">
        <v>251.57</v>
      </c>
      <c r="Y313" s="14" t="n">
        <v>54.87</v>
      </c>
      <c r="Z313" s="14" t="n">
        <v>0.92</v>
      </c>
      <c r="AA313" s="14" t="n">
        <v>0.03</v>
      </c>
      <c r="AB313" s="14" t="n">
        <v>0</v>
      </c>
      <c r="AC313" s="14" t="n">
        <v>0.04</v>
      </c>
      <c r="AD313" s="15" t="n">
        <f aca="false">H313*E313/1000</f>
        <v>0.064</v>
      </c>
      <c r="AE313" s="15" t="n">
        <f aca="false">I313*E313/1000</f>
        <v>0</v>
      </c>
      <c r="AF313" s="16" t="n">
        <f aca="false">ROUND(S313+T313+U313+V313-W313,2)</f>
        <v>0.01</v>
      </c>
      <c r="AG313" s="16" t="n">
        <f aca="false">ROUND(X313-W313-Y313,2)</f>
        <v>0</v>
      </c>
    </row>
    <row r="314" customFormat="false" ht="15" hidden="false" customHeight="false" outlineLevel="0" collapsed="false">
      <c r="A314" s="13" t="s">
        <v>217</v>
      </c>
      <c r="B314" s="13" t="s">
        <v>291</v>
      </c>
      <c r="C314" s="13" t="s">
        <v>235</v>
      </c>
      <c r="D314" s="13" t="s">
        <v>260</v>
      </c>
      <c r="E314" s="14" t="n">
        <v>22.8</v>
      </c>
      <c r="F314" s="14" t="n">
        <v>90</v>
      </c>
      <c r="G314" s="14" t="n">
        <v>2.05</v>
      </c>
      <c r="H314" s="14" t="n">
        <v>3</v>
      </c>
      <c r="I314" s="14" t="n">
        <v>1</v>
      </c>
      <c r="J314" s="14" t="n">
        <v>64.48</v>
      </c>
      <c r="K314" s="14" t="n">
        <v>140.12</v>
      </c>
      <c r="L314" s="14" t="n">
        <v>1.49</v>
      </c>
      <c r="M314" s="14" t="n">
        <v>16.05</v>
      </c>
      <c r="N314" s="14" t="n">
        <v>4.2</v>
      </c>
      <c r="O314" s="14" t="n">
        <v>0.59</v>
      </c>
      <c r="P314" s="14" t="n">
        <v>1</v>
      </c>
      <c r="Q314" s="14"/>
      <c r="R314" s="14" t="n">
        <v>1.4</v>
      </c>
      <c r="S314" s="14" t="n">
        <v>164.85</v>
      </c>
      <c r="T314" s="14" t="n">
        <v>0.9</v>
      </c>
      <c r="U314" s="14" t="n">
        <v>10</v>
      </c>
      <c r="V314" s="14" t="n">
        <v>19.5</v>
      </c>
      <c r="W314" s="14" t="n">
        <v>195.25</v>
      </c>
      <c r="X314" s="14" t="n">
        <v>251.57</v>
      </c>
      <c r="Y314" s="14" t="n">
        <v>56.32</v>
      </c>
      <c r="Z314" s="14" t="n">
        <v>1.06</v>
      </c>
      <c r="AA314" s="14" t="n">
        <v>0.03</v>
      </c>
      <c r="AB314" s="14" t="n">
        <v>0.01</v>
      </c>
      <c r="AC314" s="14" t="n">
        <v>0.05</v>
      </c>
      <c r="AD314" s="15" t="n">
        <f aca="false">H314*E314/1000</f>
        <v>0.0684</v>
      </c>
      <c r="AE314" s="15" t="n">
        <f aca="false">I314*E314/1000</f>
        <v>0.0228</v>
      </c>
      <c r="AF314" s="16" t="n">
        <f aca="false">ROUND(S314+T314+U314+V314-W314,2)</f>
        <v>0</v>
      </c>
      <c r="AG314" s="16" t="n">
        <f aca="false">ROUND(X314-W314-Y314,2)</f>
        <v>0</v>
      </c>
    </row>
    <row r="315" customFormat="false" ht="15" hidden="false" customHeight="false" outlineLevel="0" collapsed="false">
      <c r="A315" s="13" t="s">
        <v>217</v>
      </c>
      <c r="B315" s="13" t="s">
        <v>291</v>
      </c>
      <c r="C315" s="13" t="s">
        <v>235</v>
      </c>
      <c r="D315" s="13" t="s">
        <v>264</v>
      </c>
      <c r="E315" s="14" t="n">
        <v>15.4</v>
      </c>
      <c r="F315" s="14" t="n">
        <v>288</v>
      </c>
      <c r="G315" s="14" t="n">
        <v>4.44</v>
      </c>
      <c r="H315" s="14" t="n">
        <v>7</v>
      </c>
      <c r="I315" s="14"/>
      <c r="J315" s="14" t="n">
        <v>57.24</v>
      </c>
      <c r="K315" s="14" t="n">
        <v>141.16</v>
      </c>
      <c r="L315" s="14" t="n">
        <v>1.68</v>
      </c>
      <c r="M315" s="14" t="n">
        <v>23.13</v>
      </c>
      <c r="N315" s="14" t="n">
        <v>4.93</v>
      </c>
      <c r="O315" s="14" t="n">
        <v>0.59</v>
      </c>
      <c r="P315" s="14" t="n">
        <v>1</v>
      </c>
      <c r="Q315" s="14"/>
      <c r="R315" s="14" t="n">
        <v>1.4</v>
      </c>
      <c r="S315" s="14" t="n">
        <v>173.89</v>
      </c>
      <c r="T315" s="14" t="n">
        <v>0.9</v>
      </c>
      <c r="U315" s="14" t="n">
        <v>10</v>
      </c>
      <c r="V315" s="14" t="n">
        <v>20.76</v>
      </c>
      <c r="W315" s="14" t="n">
        <v>205.55</v>
      </c>
      <c r="X315" s="14" t="n">
        <v>251.57</v>
      </c>
      <c r="Y315" s="14" t="n">
        <v>46.02</v>
      </c>
      <c r="Z315" s="14" t="n">
        <v>1.93</v>
      </c>
      <c r="AA315" s="14" t="n">
        <v>0.06</v>
      </c>
      <c r="AB315" s="14" t="n">
        <v>0</v>
      </c>
      <c r="AC315" s="14" t="n">
        <v>0.05</v>
      </c>
      <c r="AD315" s="15" t="n">
        <f aca="false">H315*E315/1000</f>
        <v>0.1078</v>
      </c>
      <c r="AE315" s="15" t="n">
        <f aca="false">I315*E315/1000</f>
        <v>0</v>
      </c>
      <c r="AF315" s="16" t="n">
        <f aca="false">ROUND(S315+T315+U315+V315-W315,2)</f>
        <v>0</v>
      </c>
      <c r="AG315" s="16" t="n">
        <f aca="false">ROUND(X315-W315-Y315,2)</f>
        <v>0</v>
      </c>
    </row>
    <row r="316" customFormat="false" ht="15" hidden="false" customHeight="false" outlineLevel="0" collapsed="false">
      <c r="A316" s="13" t="s">
        <v>217</v>
      </c>
      <c r="B316" s="13" t="s">
        <v>291</v>
      </c>
      <c r="C316" s="13" t="s">
        <v>235</v>
      </c>
      <c r="D316" s="13" t="s">
        <v>261</v>
      </c>
      <c r="E316" s="14" t="n">
        <v>21.6</v>
      </c>
      <c r="F316" s="14" t="n">
        <v>54</v>
      </c>
      <c r="G316" s="14" t="n">
        <v>1.17</v>
      </c>
      <c r="H316" s="14" t="n">
        <v>6</v>
      </c>
      <c r="I316" s="14" t="n">
        <v>1</v>
      </c>
      <c r="J316" s="14" t="n">
        <v>61.98</v>
      </c>
      <c r="K316" s="14" t="n">
        <v>140.45</v>
      </c>
      <c r="L316" s="14" t="n">
        <v>1.55</v>
      </c>
      <c r="M316" s="14" t="n">
        <v>17.21</v>
      </c>
      <c r="N316" s="14" t="n">
        <v>4.2</v>
      </c>
      <c r="O316" s="14" t="n">
        <v>0.59</v>
      </c>
      <c r="P316" s="14" t="n">
        <v>1</v>
      </c>
      <c r="Q316" s="14"/>
      <c r="R316" s="14" t="n">
        <v>1.4</v>
      </c>
      <c r="S316" s="14" t="n">
        <v>166.4</v>
      </c>
      <c r="T316" s="14" t="n">
        <v>0.9</v>
      </c>
      <c r="U316" s="14" t="n">
        <v>10</v>
      </c>
      <c r="V316" s="14" t="n">
        <v>19.9</v>
      </c>
      <c r="W316" s="14" t="n">
        <v>197.2</v>
      </c>
      <c r="X316" s="14" t="n">
        <v>251.57</v>
      </c>
      <c r="Y316" s="14" t="n">
        <v>54.37</v>
      </c>
      <c r="Z316" s="14" t="n">
        <v>0.48</v>
      </c>
      <c r="AA316" s="14" t="n">
        <v>0.06</v>
      </c>
      <c r="AB316" s="14" t="n">
        <v>0.01</v>
      </c>
      <c r="AC316" s="14" t="n">
        <v>0.08</v>
      </c>
      <c r="AD316" s="15" t="n">
        <f aca="false">H316*E316/1000</f>
        <v>0.1296</v>
      </c>
      <c r="AE316" s="15" t="n">
        <f aca="false">I316*E316/1000</f>
        <v>0.0216</v>
      </c>
      <c r="AF316" s="16" t="n">
        <f aca="false">ROUND(S316+T316+U316+V316-W316,2)</f>
        <v>0</v>
      </c>
      <c r="AG316" s="16" t="n">
        <f aca="false">ROUND(X316-W316-Y316,2)</f>
        <v>0</v>
      </c>
    </row>
    <row r="317" customFormat="false" ht="15" hidden="false" customHeight="false" outlineLevel="0" collapsed="false">
      <c r="A317" s="13" t="s">
        <v>217</v>
      </c>
      <c r="B317" s="13" t="s">
        <v>291</v>
      </c>
      <c r="C317" s="13" t="s">
        <v>235</v>
      </c>
      <c r="D317" s="13" t="s">
        <v>243</v>
      </c>
      <c r="E317" s="14" t="n">
        <v>37.78</v>
      </c>
      <c r="F317" s="14" t="n">
        <v>4</v>
      </c>
      <c r="G317" s="14" t="n">
        <v>0.1511</v>
      </c>
      <c r="H317" s="14" t="n">
        <v>4</v>
      </c>
      <c r="I317" s="14"/>
      <c r="J317" s="14" t="n">
        <v>64.1</v>
      </c>
      <c r="K317" s="14" t="n">
        <v>140.17</v>
      </c>
      <c r="L317" s="14" t="n">
        <v>1.5</v>
      </c>
      <c r="M317" s="14" t="n">
        <v>17.2</v>
      </c>
      <c r="N317" s="14" t="n">
        <v>4</v>
      </c>
      <c r="O317" s="14" t="n">
        <v>0.59</v>
      </c>
      <c r="P317" s="14" t="n">
        <v>1</v>
      </c>
      <c r="Q317" s="14"/>
      <c r="R317" s="14" t="n">
        <v>1.4</v>
      </c>
      <c r="S317" s="14" t="n">
        <v>165.85</v>
      </c>
      <c r="T317" s="14" t="n">
        <v>0.9</v>
      </c>
      <c r="U317" s="14" t="n">
        <v>10</v>
      </c>
      <c r="V317" s="14" t="n">
        <v>19.56</v>
      </c>
      <c r="W317" s="14" t="n">
        <v>196.31</v>
      </c>
      <c r="X317" s="14" t="n">
        <v>251.57</v>
      </c>
      <c r="Y317" s="14" t="n">
        <v>55.26</v>
      </c>
      <c r="Z317" s="14" t="n">
        <v>-0.07</v>
      </c>
      <c r="AA317" s="14" t="n">
        <v>0.07</v>
      </c>
      <c r="AB317" s="14" t="n">
        <v>0</v>
      </c>
      <c r="AC317" s="14" t="n">
        <v>0.08</v>
      </c>
      <c r="AD317" s="15" t="n">
        <f aca="false">H317*E317/1000</f>
        <v>0.15112</v>
      </c>
      <c r="AE317" s="15" t="n">
        <f aca="false">I317*E317/1000</f>
        <v>0</v>
      </c>
      <c r="AF317" s="16" t="n">
        <f aca="false">ROUND(S317+T317+U317+V317-W317,2)</f>
        <v>0</v>
      </c>
      <c r="AG317" s="16" t="n">
        <f aca="false">ROUND(X317-W317-Y317,2)</f>
        <v>0</v>
      </c>
    </row>
    <row r="318" customFormat="false" ht="15" hidden="false" customHeight="false" outlineLevel="0" collapsed="false">
      <c r="A318" s="13" t="s">
        <v>217</v>
      </c>
      <c r="B318" s="13" t="s">
        <v>291</v>
      </c>
      <c r="C318" s="13" t="s">
        <v>235</v>
      </c>
      <c r="D318" s="13" t="s">
        <v>222</v>
      </c>
      <c r="E318" s="14" t="n">
        <v>20.7</v>
      </c>
      <c r="F318" s="14" t="n">
        <v>72</v>
      </c>
      <c r="G318" s="14" t="n">
        <v>1.4904</v>
      </c>
      <c r="H318" s="14" t="n">
        <v>15</v>
      </c>
      <c r="I318" s="14"/>
      <c r="J318" s="14" t="n">
        <v>59.04</v>
      </c>
      <c r="K318" s="14" t="n">
        <v>140.88</v>
      </c>
      <c r="L318" s="14" t="n">
        <v>1.63</v>
      </c>
      <c r="M318" s="14" t="n">
        <v>16.1</v>
      </c>
      <c r="N318" s="14" t="n">
        <v>7</v>
      </c>
      <c r="O318" s="14" t="n">
        <v>0.59</v>
      </c>
      <c r="P318" s="14" t="n">
        <v>1</v>
      </c>
      <c r="Q318" s="14"/>
      <c r="R318" s="14" t="n">
        <v>1.4</v>
      </c>
      <c r="S318" s="14" t="n">
        <v>168.59</v>
      </c>
      <c r="T318" s="14" t="n">
        <v>0.9</v>
      </c>
      <c r="U318" s="14" t="n">
        <v>10</v>
      </c>
      <c r="V318" s="14" t="n">
        <v>20.42</v>
      </c>
      <c r="W318" s="14" t="n">
        <v>199.91</v>
      </c>
      <c r="X318" s="14" t="n">
        <v>251.57</v>
      </c>
      <c r="Y318" s="14" t="n">
        <v>51.66</v>
      </c>
      <c r="Z318" s="14" t="n">
        <v>0.47</v>
      </c>
      <c r="AA318" s="14" t="n">
        <v>0.14</v>
      </c>
      <c r="AB318" s="14" t="n">
        <v>0</v>
      </c>
      <c r="AC318" s="14" t="n">
        <v>0.16</v>
      </c>
      <c r="AD318" s="15" t="n">
        <f aca="false">H318*E318/1000</f>
        <v>0.3105</v>
      </c>
      <c r="AE318" s="15" t="n">
        <f aca="false">I318*E318/1000</f>
        <v>0</v>
      </c>
      <c r="AF318" s="16" t="n">
        <f aca="false">ROUND(S318+T318+U318+V318-W318,2)</f>
        <v>0</v>
      </c>
      <c r="AG318" s="16" t="n">
        <f aca="false">ROUND(X318-W318-Y318,2)</f>
        <v>0</v>
      </c>
    </row>
    <row r="319" customFormat="false" ht="15" hidden="false" customHeight="false" outlineLevel="0" collapsed="false">
      <c r="A319" s="13" t="s">
        <v>217</v>
      </c>
      <c r="B319" s="13" t="s">
        <v>291</v>
      </c>
      <c r="C319" s="13" t="s">
        <v>235</v>
      </c>
      <c r="D319" s="13" t="s">
        <v>232</v>
      </c>
      <c r="E319" s="14" t="n">
        <v>50.15</v>
      </c>
      <c r="F319" s="14" t="n">
        <v>42</v>
      </c>
      <c r="G319" s="14" t="n">
        <v>2.11</v>
      </c>
      <c r="H319" s="14" t="n">
        <v>3</v>
      </c>
      <c r="I319" s="14"/>
      <c r="J319" s="14" t="n">
        <v>67.99</v>
      </c>
      <c r="K319" s="14" t="n">
        <v>139.7</v>
      </c>
      <c r="L319" s="14" t="n">
        <v>1.41</v>
      </c>
      <c r="M319" s="14" t="n">
        <v>10.9</v>
      </c>
      <c r="N319" s="14" t="n">
        <v>4.2</v>
      </c>
      <c r="O319" s="14" t="n">
        <v>0.59</v>
      </c>
      <c r="P319" s="14" t="n">
        <v>1</v>
      </c>
      <c r="Q319" s="14"/>
      <c r="R319" s="14" t="n">
        <v>1.4</v>
      </c>
      <c r="S319" s="14" t="n">
        <v>159.2</v>
      </c>
      <c r="T319" s="14" t="n">
        <v>0.9</v>
      </c>
      <c r="U319" s="14" t="n">
        <v>10</v>
      </c>
      <c r="V319" s="14" t="n">
        <v>18.98</v>
      </c>
      <c r="W319" s="14" t="n">
        <v>189.08</v>
      </c>
      <c r="X319" s="14" t="n">
        <v>251.57</v>
      </c>
      <c r="Y319" s="14" t="n">
        <v>62.49</v>
      </c>
      <c r="Z319" s="14" t="n">
        <v>1.17</v>
      </c>
      <c r="AA319" s="14" t="n">
        <v>0.06</v>
      </c>
      <c r="AB319" s="14" t="n">
        <v>0</v>
      </c>
      <c r="AC319" s="14" t="n">
        <v>0.09</v>
      </c>
      <c r="AD319" s="15" t="n">
        <f aca="false">H319*E319/1000</f>
        <v>0.15045</v>
      </c>
      <c r="AE319" s="15" t="n">
        <f aca="false">I319*E319/1000</f>
        <v>0</v>
      </c>
      <c r="AF319" s="16" t="n">
        <f aca="false">ROUND(S319+T319+U319+V319-W319,2)</f>
        <v>0</v>
      </c>
      <c r="AG319" s="16" t="n">
        <f aca="false">ROUND(X319-W319-Y319,2)</f>
        <v>0</v>
      </c>
    </row>
    <row r="320" customFormat="false" ht="15" hidden="false" customHeight="false" outlineLevel="0" collapsed="false">
      <c r="A320" s="13" t="s">
        <v>217</v>
      </c>
      <c r="B320" s="13" t="s">
        <v>291</v>
      </c>
      <c r="C320" s="13" t="s">
        <v>235</v>
      </c>
      <c r="D320" s="13" t="s">
        <v>244</v>
      </c>
      <c r="E320" s="14" t="n">
        <v>37.5</v>
      </c>
      <c r="F320" s="14" t="n">
        <v>95</v>
      </c>
      <c r="G320" s="14" t="n">
        <v>3.56</v>
      </c>
      <c r="H320" s="14" t="n">
        <v>2</v>
      </c>
      <c r="I320" s="14"/>
      <c r="J320" s="14" t="n">
        <v>62.75</v>
      </c>
      <c r="K320" s="14" t="n">
        <v>140.35</v>
      </c>
      <c r="L320" s="14" t="n">
        <v>1.53</v>
      </c>
      <c r="M320" s="14" t="n">
        <v>11.24</v>
      </c>
      <c r="N320" s="14" t="n">
        <v>4.2</v>
      </c>
      <c r="O320" s="14" t="n">
        <v>0.59</v>
      </c>
      <c r="P320" s="14" t="n">
        <v>1</v>
      </c>
      <c r="Q320" s="14"/>
      <c r="R320" s="14" t="n">
        <v>1.4</v>
      </c>
      <c r="S320" s="14" t="n">
        <v>160.31</v>
      </c>
      <c r="T320" s="14" t="n">
        <v>0.9</v>
      </c>
      <c r="U320" s="14" t="n">
        <v>10</v>
      </c>
      <c r="V320" s="14" t="n">
        <v>19.77</v>
      </c>
      <c r="W320" s="14" t="n">
        <v>190.98</v>
      </c>
      <c r="X320" s="14" t="n">
        <v>251.57</v>
      </c>
      <c r="Y320" s="14" t="n">
        <v>60.59</v>
      </c>
      <c r="Z320" s="14" t="n">
        <v>2.08</v>
      </c>
      <c r="AA320" s="14" t="n">
        <v>0.03</v>
      </c>
      <c r="AB320" s="14" t="n">
        <v>0</v>
      </c>
      <c r="AC320" s="14" t="n">
        <v>0.05</v>
      </c>
      <c r="AD320" s="15" t="n">
        <f aca="false">H320*E320/1000</f>
        <v>0.075</v>
      </c>
      <c r="AE320" s="15" t="n">
        <f aca="false">I320*E320/1000</f>
        <v>0</v>
      </c>
      <c r="AF320" s="16" t="n">
        <f aca="false">ROUND(S320+T320+U320+V320-W320,2)</f>
        <v>0</v>
      </c>
      <c r="AG320" s="16" t="n">
        <f aca="false">ROUND(X320-W320-Y320,2)</f>
        <v>0</v>
      </c>
    </row>
    <row r="321" customFormat="false" ht="15" hidden="false" customHeight="false" outlineLevel="0" collapsed="false">
      <c r="A321" s="13" t="s">
        <v>217</v>
      </c>
      <c r="B321" s="13" t="s">
        <v>291</v>
      </c>
      <c r="C321" s="13" t="s">
        <v>235</v>
      </c>
      <c r="D321" s="13" t="s">
        <v>289</v>
      </c>
      <c r="E321" s="14" t="n">
        <v>470</v>
      </c>
      <c r="F321" s="14" t="n">
        <v>41</v>
      </c>
      <c r="G321" s="14" t="n">
        <v>19.27</v>
      </c>
      <c r="H321" s="14"/>
      <c r="I321" s="14"/>
      <c r="J321" s="14" t="n">
        <v>66.3</v>
      </c>
      <c r="K321" s="14" t="n">
        <v>139.9</v>
      </c>
      <c r="L321" s="14" t="n">
        <v>1.45</v>
      </c>
      <c r="M321" s="14" t="n">
        <v>11.03</v>
      </c>
      <c r="N321" s="14" t="n">
        <v>4</v>
      </c>
      <c r="O321" s="14"/>
      <c r="P321" s="14" t="n">
        <v>1</v>
      </c>
      <c r="Q321" s="14"/>
      <c r="R321" s="14" t="n">
        <v>0.55</v>
      </c>
      <c r="S321" s="14" t="n">
        <v>157.93</v>
      </c>
      <c r="T321" s="14" t="n">
        <v>0.9</v>
      </c>
      <c r="U321" s="14" t="n">
        <v>10</v>
      </c>
      <c r="V321" s="14" t="n">
        <v>19.22</v>
      </c>
      <c r="W321" s="14" t="n">
        <v>188.06</v>
      </c>
      <c r="X321" s="14" t="n">
        <v>253.55</v>
      </c>
      <c r="Y321" s="14" t="n">
        <v>65.49</v>
      </c>
      <c r="Z321" s="14" t="n">
        <v>12.62</v>
      </c>
      <c r="AA321" s="14" t="n">
        <v>0</v>
      </c>
      <c r="AB321" s="14" t="n">
        <v>0</v>
      </c>
      <c r="AC321" s="14" t="n">
        <v>0</v>
      </c>
      <c r="AD321" s="15" t="n">
        <f aca="false">H321*E321/1000</f>
        <v>0</v>
      </c>
      <c r="AE321" s="15" t="n">
        <f aca="false">I321*E321/1000</f>
        <v>0</v>
      </c>
      <c r="AF321" s="16" t="n">
        <f aca="false">ROUND(S321+T321+U321+V321-W321,2)</f>
        <v>-0.01</v>
      </c>
      <c r="AG321" s="16" t="n">
        <f aca="false">ROUND(X321-W321-Y321,2)</f>
        <v>0</v>
      </c>
    </row>
    <row r="322" customFormat="false" ht="15" hidden="false" customHeight="false" outlineLevel="0" collapsed="false">
      <c r="A322" s="13" t="s">
        <v>217</v>
      </c>
      <c r="B322" s="13" t="s">
        <v>291</v>
      </c>
      <c r="C322" s="13" t="s">
        <v>235</v>
      </c>
      <c r="D322" s="13" t="s">
        <v>262</v>
      </c>
      <c r="E322" s="14" t="n">
        <v>47.33</v>
      </c>
      <c r="F322" s="14" t="n">
        <v>27</v>
      </c>
      <c r="G322" s="14" t="n">
        <v>1</v>
      </c>
      <c r="H322" s="14" t="n">
        <v>2</v>
      </c>
      <c r="I322" s="14"/>
      <c r="J322" s="14" t="n">
        <v>67.25</v>
      </c>
      <c r="K322" s="14" t="n">
        <v>139.79</v>
      </c>
      <c r="L322" s="14" t="n">
        <v>1.43</v>
      </c>
      <c r="M322" s="14" t="n">
        <v>13.97</v>
      </c>
      <c r="N322" s="14" t="n">
        <v>4.2</v>
      </c>
      <c r="O322" s="14" t="n">
        <v>0.59</v>
      </c>
      <c r="P322" s="14" t="n">
        <v>1</v>
      </c>
      <c r="Q322" s="14"/>
      <c r="R322" s="14" t="n">
        <v>1.4</v>
      </c>
      <c r="S322" s="14" t="n">
        <v>162.37</v>
      </c>
      <c r="T322" s="14" t="n">
        <v>0.9</v>
      </c>
      <c r="U322" s="14" t="n">
        <v>10</v>
      </c>
      <c r="V322" s="14" t="n">
        <v>19.09</v>
      </c>
      <c r="W322" s="14" t="n">
        <v>192.36</v>
      </c>
      <c r="X322" s="14" t="n">
        <v>251.57</v>
      </c>
      <c r="Y322" s="14" t="n">
        <v>59.21</v>
      </c>
      <c r="Z322" s="14" t="n">
        <v>0.66</v>
      </c>
      <c r="AA322" s="14" t="n">
        <v>0.04</v>
      </c>
      <c r="AB322" s="14" t="n">
        <v>0</v>
      </c>
      <c r="AC322" s="14" t="n">
        <v>0.06</v>
      </c>
      <c r="AD322" s="15" t="n">
        <f aca="false">H322*E322/1000</f>
        <v>0.09466</v>
      </c>
      <c r="AE322" s="15" t="n">
        <f aca="false">I322*E322/1000</f>
        <v>0</v>
      </c>
      <c r="AF322" s="16" t="n">
        <f aca="false">ROUND(S322+T322+U322+V322-W322,2)</f>
        <v>0</v>
      </c>
      <c r="AG322" s="16" t="n">
        <f aca="false">ROUND(X322-W322-Y322,2)</f>
        <v>0</v>
      </c>
    </row>
    <row r="323" customFormat="false" ht="15" hidden="false" customHeight="false" outlineLevel="0" collapsed="false">
      <c r="A323" s="13" t="s">
        <v>217</v>
      </c>
      <c r="B323" s="13" t="s">
        <v>291</v>
      </c>
      <c r="C323" s="13" t="s">
        <v>235</v>
      </c>
      <c r="D323" s="13" t="s">
        <v>227</v>
      </c>
      <c r="E323" s="14" t="n">
        <v>18</v>
      </c>
      <c r="F323" s="14" t="n">
        <v>1</v>
      </c>
      <c r="G323" s="14" t="n">
        <v>0.018</v>
      </c>
      <c r="H323" s="14" t="n">
        <v>1</v>
      </c>
      <c r="I323" s="14"/>
      <c r="J323" s="14" t="n">
        <v>64.17</v>
      </c>
      <c r="K323" s="14" t="n">
        <v>140.16</v>
      </c>
      <c r="L323" s="14" t="n">
        <v>1.5</v>
      </c>
      <c r="M323" s="14" t="n">
        <v>17.19</v>
      </c>
      <c r="N323" s="14" t="n">
        <v>4</v>
      </c>
      <c r="O323" s="14" t="n">
        <v>0.59</v>
      </c>
      <c r="P323" s="14" t="n">
        <v>1</v>
      </c>
      <c r="Q323" s="14"/>
      <c r="R323" s="14" t="n">
        <v>1.4</v>
      </c>
      <c r="S323" s="14" t="n">
        <v>165.84</v>
      </c>
      <c r="T323" s="14" t="n">
        <v>0.9</v>
      </c>
      <c r="U323" s="14" t="n">
        <v>10</v>
      </c>
      <c r="V323" s="14" t="n">
        <v>19.55</v>
      </c>
      <c r="W323" s="14" t="n">
        <v>196.29</v>
      </c>
      <c r="X323" s="14" t="n">
        <v>251.57</v>
      </c>
      <c r="Y323" s="14" t="n">
        <v>55.28</v>
      </c>
      <c r="Z323" s="14" t="n">
        <v>-0.01</v>
      </c>
      <c r="AA323" s="14" t="n">
        <v>0.01</v>
      </c>
      <c r="AB323" s="14" t="n">
        <v>0</v>
      </c>
      <c r="AC323" s="14" t="n">
        <v>0.01</v>
      </c>
      <c r="AD323" s="15" t="n">
        <f aca="false">H323*E323/1000</f>
        <v>0.018</v>
      </c>
      <c r="AE323" s="15" t="n">
        <f aca="false">I323*E323/1000</f>
        <v>0</v>
      </c>
      <c r="AF323" s="16" t="n">
        <f aca="false">ROUND(S323+T323+U323+V323-W323,2)</f>
        <v>0</v>
      </c>
      <c r="AG323" s="16" t="n">
        <f aca="false">ROUND(X323-W323-Y323,2)</f>
        <v>0</v>
      </c>
    </row>
    <row r="324" customFormat="false" ht="15" hidden="false" customHeight="false" outlineLevel="0" collapsed="false">
      <c r="A324" s="13" t="s">
        <v>217</v>
      </c>
      <c r="B324" s="13" t="s">
        <v>291</v>
      </c>
      <c r="C324" s="13" t="s">
        <v>240</v>
      </c>
      <c r="D324" s="13" t="s">
        <v>267</v>
      </c>
      <c r="E324" s="14" t="n">
        <v>30.35</v>
      </c>
      <c r="F324" s="14" t="n">
        <v>8</v>
      </c>
      <c r="G324" s="14" t="n">
        <v>0.24</v>
      </c>
      <c r="H324" s="14" t="n">
        <v>8</v>
      </c>
      <c r="I324" s="14" t="n">
        <v>1</v>
      </c>
      <c r="J324" s="14" t="n">
        <v>63.14</v>
      </c>
      <c r="K324" s="14" t="n">
        <v>139.54</v>
      </c>
      <c r="L324" s="14" t="n">
        <v>1.52</v>
      </c>
      <c r="M324" s="14" t="n">
        <v>16.42</v>
      </c>
      <c r="N324" s="14" t="n">
        <v>4.93</v>
      </c>
      <c r="O324" s="14" t="n">
        <v>0.59</v>
      </c>
      <c r="P324" s="14" t="n">
        <v>1.5</v>
      </c>
      <c r="Q324" s="14"/>
      <c r="R324" s="14" t="n">
        <v>1.4</v>
      </c>
      <c r="S324" s="14" t="n">
        <v>165.89</v>
      </c>
      <c r="T324" s="14" t="n">
        <v>0.9</v>
      </c>
      <c r="U324" s="14" t="n">
        <v>10</v>
      </c>
      <c r="V324" s="14" t="n">
        <v>19.71</v>
      </c>
      <c r="W324" s="14" t="n">
        <v>196.5</v>
      </c>
      <c r="X324" s="14" t="n">
        <v>251.57</v>
      </c>
      <c r="Y324" s="14" t="n">
        <v>55.07</v>
      </c>
      <c r="Z324" s="14" t="n">
        <v>-0.14</v>
      </c>
      <c r="AA324" s="14" t="n">
        <v>0.11</v>
      </c>
      <c r="AB324" s="14" t="n">
        <v>0.02</v>
      </c>
      <c r="AC324" s="14" t="n">
        <v>0.15</v>
      </c>
      <c r="AD324" s="15" t="n">
        <f aca="false">H324*E324/1000</f>
        <v>0.2428</v>
      </c>
      <c r="AE324" s="15" t="n">
        <f aca="false">I324*E324/1000</f>
        <v>0.03035</v>
      </c>
      <c r="AF324" s="16" t="n">
        <f aca="false">ROUND(S324+T324+U324+V324-W324,2)</f>
        <v>0</v>
      </c>
      <c r="AG324" s="16" t="n">
        <f aca="false">ROUND(X324-W324-Y324,2)</f>
        <v>0</v>
      </c>
    </row>
    <row r="325" customFormat="false" ht="15" hidden="false" customHeight="false" outlineLevel="0" collapsed="false">
      <c r="A325" s="13" t="s">
        <v>217</v>
      </c>
      <c r="B325" s="13" t="s">
        <v>291</v>
      </c>
      <c r="C325" s="13" t="s">
        <v>240</v>
      </c>
      <c r="D325" s="13" t="s">
        <v>265</v>
      </c>
      <c r="E325" s="14" t="n">
        <v>17</v>
      </c>
      <c r="F325" s="14" t="n">
        <v>48</v>
      </c>
      <c r="G325" s="14" t="n">
        <v>0.82</v>
      </c>
      <c r="H325" s="14" t="n">
        <v>46</v>
      </c>
      <c r="I325" s="14" t="n">
        <v>1</v>
      </c>
      <c r="J325" s="14" t="n">
        <v>62.89</v>
      </c>
      <c r="K325" s="14" t="n">
        <v>139.58</v>
      </c>
      <c r="L325" s="14" t="n">
        <v>1.53</v>
      </c>
      <c r="M325" s="14" t="n">
        <v>20.25</v>
      </c>
      <c r="N325" s="14" t="n">
        <v>4.93</v>
      </c>
      <c r="O325" s="14" t="n">
        <v>0.59</v>
      </c>
      <c r="P325" s="14" t="n">
        <v>1.5</v>
      </c>
      <c r="Q325" s="14"/>
      <c r="R325" s="14" t="n">
        <v>1.4</v>
      </c>
      <c r="S325" s="14" t="n">
        <v>169.77</v>
      </c>
      <c r="T325" s="14" t="n">
        <v>0.9</v>
      </c>
      <c r="U325" s="14" t="n">
        <v>10</v>
      </c>
      <c r="V325" s="14" t="n">
        <v>19.75</v>
      </c>
      <c r="W325" s="14" t="n">
        <v>200.42</v>
      </c>
      <c r="X325" s="14" t="n">
        <v>251.57</v>
      </c>
      <c r="Y325" s="14" t="n">
        <v>51.15</v>
      </c>
      <c r="Z325" s="14" t="n">
        <v>-0.38</v>
      </c>
      <c r="AA325" s="14" t="n">
        <v>0.38</v>
      </c>
      <c r="AB325" s="14" t="n">
        <v>0.01</v>
      </c>
      <c r="AC325" s="14" t="n">
        <v>0.41</v>
      </c>
      <c r="AD325" s="15" t="n">
        <f aca="false">H325*E325/1000</f>
        <v>0.782</v>
      </c>
      <c r="AE325" s="15" t="n">
        <f aca="false">I325*E325/1000</f>
        <v>0.017</v>
      </c>
      <c r="AF325" s="16" t="n">
        <f aca="false">ROUND(S325+T325+U325+V325-W325,2)</f>
        <v>0</v>
      </c>
      <c r="AG325" s="16" t="n">
        <f aca="false">ROUND(X325-W325-Y325,2)</f>
        <v>0</v>
      </c>
    </row>
    <row r="326" customFormat="false" ht="15" hidden="false" customHeight="false" outlineLevel="0" collapsed="false">
      <c r="A326" s="13" t="s">
        <v>217</v>
      </c>
      <c r="B326" s="13" t="s">
        <v>291</v>
      </c>
      <c r="C326" s="13" t="s">
        <v>240</v>
      </c>
      <c r="D326" s="13" t="s">
        <v>230</v>
      </c>
      <c r="E326" s="14" t="n">
        <v>34.5</v>
      </c>
      <c r="F326" s="14" t="n">
        <v>12</v>
      </c>
      <c r="G326" s="14" t="n">
        <v>0.41</v>
      </c>
      <c r="H326" s="14" t="n">
        <v>8</v>
      </c>
      <c r="I326" s="14" t="n">
        <v>2</v>
      </c>
      <c r="J326" s="14" t="n">
        <v>61.31</v>
      </c>
      <c r="K326" s="14" t="n">
        <v>139.79</v>
      </c>
      <c r="L326" s="14" t="n">
        <v>1.57</v>
      </c>
      <c r="M326" s="14" t="n">
        <v>13.91</v>
      </c>
      <c r="N326" s="14" t="n">
        <v>4</v>
      </c>
      <c r="O326" s="14" t="n">
        <v>0.59</v>
      </c>
      <c r="P326" s="14" t="n">
        <v>1</v>
      </c>
      <c r="Q326" s="14"/>
      <c r="R326" s="14" t="n">
        <v>1.4</v>
      </c>
      <c r="S326" s="14" t="n">
        <v>162.25</v>
      </c>
      <c r="T326" s="14" t="n">
        <v>0.9</v>
      </c>
      <c r="U326" s="14" t="n">
        <v>10</v>
      </c>
      <c r="V326" s="14" t="n">
        <v>20.01</v>
      </c>
      <c r="W326" s="14" t="n">
        <v>193.16</v>
      </c>
      <c r="X326" s="14" t="n">
        <v>251.57</v>
      </c>
      <c r="Y326" s="14" t="n">
        <v>58.41</v>
      </c>
      <c r="Z326" s="14" t="n">
        <v>-0.12</v>
      </c>
      <c r="AA326" s="14" t="n">
        <v>0.12</v>
      </c>
      <c r="AB326" s="14" t="n">
        <v>0.04</v>
      </c>
      <c r="AC326" s="14" t="n">
        <v>0.2</v>
      </c>
      <c r="AD326" s="15" t="n">
        <f aca="false">H326*E326/1000</f>
        <v>0.276</v>
      </c>
      <c r="AE326" s="15" t="n">
        <f aca="false">I326*E326/1000</f>
        <v>0.069</v>
      </c>
      <c r="AF326" s="16" t="n">
        <f aca="false">ROUND(S326+T326+U326+V326-W326,2)</f>
        <v>0</v>
      </c>
      <c r="AG326" s="16" t="n">
        <f aca="false">ROUND(X326-W326-Y326,2)</f>
        <v>0</v>
      </c>
    </row>
    <row r="327" customFormat="false" ht="15" hidden="false" customHeight="false" outlineLevel="0" collapsed="false">
      <c r="A327" s="13" t="s">
        <v>217</v>
      </c>
      <c r="B327" s="13" t="s">
        <v>291</v>
      </c>
      <c r="C327" s="13" t="s">
        <v>240</v>
      </c>
      <c r="D327" s="13" t="s">
        <v>264</v>
      </c>
      <c r="E327" s="14" t="n">
        <v>15.4</v>
      </c>
      <c r="F327" s="14" t="n">
        <v>16</v>
      </c>
      <c r="G327" s="14" t="n">
        <v>0.25</v>
      </c>
      <c r="H327" s="14" t="n">
        <v>21</v>
      </c>
      <c r="I327" s="14" t="n">
        <v>1</v>
      </c>
      <c r="J327" s="14" t="n">
        <v>57.24</v>
      </c>
      <c r="K327" s="14" t="n">
        <v>140.4</v>
      </c>
      <c r="L327" s="14" t="n">
        <v>1.68</v>
      </c>
      <c r="M327" s="14" t="n">
        <v>23.13</v>
      </c>
      <c r="N327" s="14" t="n">
        <v>4.93</v>
      </c>
      <c r="O327" s="14" t="n">
        <v>0.59</v>
      </c>
      <c r="P327" s="14" t="n">
        <v>1</v>
      </c>
      <c r="Q327" s="14"/>
      <c r="R327" s="14" t="n">
        <v>1.4</v>
      </c>
      <c r="S327" s="14" t="n">
        <v>173.13</v>
      </c>
      <c r="T327" s="14" t="n">
        <v>0.9</v>
      </c>
      <c r="U327" s="14" t="n">
        <v>10</v>
      </c>
      <c r="V327" s="14" t="n">
        <v>20.76</v>
      </c>
      <c r="W327" s="14" t="n">
        <v>204.79</v>
      </c>
      <c r="X327" s="14" t="n">
        <v>251.57</v>
      </c>
      <c r="Y327" s="14" t="n">
        <v>46.78</v>
      </c>
      <c r="Z327" s="14" t="n">
        <v>-0.23</v>
      </c>
      <c r="AA327" s="14" t="n">
        <v>0.17</v>
      </c>
      <c r="AB327" s="14" t="n">
        <v>0.01</v>
      </c>
      <c r="AC327" s="14" t="n">
        <v>0.16</v>
      </c>
      <c r="AD327" s="15" t="n">
        <f aca="false">H327*E327/1000</f>
        <v>0.3234</v>
      </c>
      <c r="AE327" s="15" t="n">
        <f aca="false">I327*E327/1000</f>
        <v>0.0154</v>
      </c>
      <c r="AF327" s="16" t="n">
        <f aca="false">ROUND(S327+T327+U327+V327-W327,2)</f>
        <v>0</v>
      </c>
      <c r="AG327" s="16" t="n">
        <f aca="false">ROUND(X327-W327-Y327,2)</f>
        <v>0</v>
      </c>
    </row>
    <row r="328" customFormat="false" ht="15" hidden="false" customHeight="false" outlineLevel="0" collapsed="false">
      <c r="A328" s="13" t="s">
        <v>217</v>
      </c>
      <c r="B328" s="13" t="s">
        <v>291</v>
      </c>
      <c r="C328" s="13" t="s">
        <v>240</v>
      </c>
      <c r="D328" s="13" t="s">
        <v>289</v>
      </c>
      <c r="E328" s="14" t="n">
        <v>470</v>
      </c>
      <c r="F328" s="14" t="n">
        <v>78</v>
      </c>
      <c r="G328" s="14" t="n">
        <v>36.66</v>
      </c>
      <c r="H328" s="14" t="n">
        <v>0</v>
      </c>
      <c r="I328" s="14" t="n">
        <v>5</v>
      </c>
      <c r="J328" s="14" t="n">
        <v>66.3</v>
      </c>
      <c r="K328" s="14" t="n">
        <v>139.15</v>
      </c>
      <c r="L328" s="14" t="n">
        <v>1.45</v>
      </c>
      <c r="M328" s="14" t="n">
        <v>11.03</v>
      </c>
      <c r="N328" s="14" t="n">
        <v>4</v>
      </c>
      <c r="O328" s="14"/>
      <c r="P328" s="14" t="n">
        <v>1</v>
      </c>
      <c r="Q328" s="14"/>
      <c r="R328" s="14" t="n">
        <v>0.55</v>
      </c>
      <c r="S328" s="14" t="n">
        <v>157.18</v>
      </c>
      <c r="T328" s="14" t="n">
        <v>0.9</v>
      </c>
      <c r="U328" s="14" t="n">
        <v>10</v>
      </c>
      <c r="V328" s="14" t="n">
        <v>19.22</v>
      </c>
      <c r="W328" s="14" t="n">
        <v>187.3</v>
      </c>
      <c r="X328" s="14" t="n">
        <v>253.55</v>
      </c>
      <c r="Y328" s="14" t="n">
        <v>66.25</v>
      </c>
      <c r="Z328" s="14" t="n">
        <v>21.45</v>
      </c>
      <c r="AA328" s="14" t="n">
        <v>0</v>
      </c>
      <c r="AB328" s="14" t="n">
        <v>1.28</v>
      </c>
      <c r="AC328" s="14" t="n">
        <v>1.56</v>
      </c>
      <c r="AD328" s="15" t="n">
        <f aca="false">H328*E328/1000</f>
        <v>0</v>
      </c>
      <c r="AE328" s="15" t="n">
        <f aca="false">I328*E328/1000</f>
        <v>2.35</v>
      </c>
      <c r="AF328" s="16" t="n">
        <f aca="false">ROUND(S328+T328+U328+V328-W328,2)</f>
        <v>0</v>
      </c>
      <c r="AG328" s="16" t="n">
        <f aca="false">ROUND(X328-W328-Y328,2)</f>
        <v>0</v>
      </c>
    </row>
    <row r="329" customFormat="false" ht="15" hidden="false" customHeight="false" outlineLevel="0" collapsed="false">
      <c r="A329" s="13" t="s">
        <v>217</v>
      </c>
      <c r="B329" s="13" t="s">
        <v>291</v>
      </c>
      <c r="C329" s="13" t="s">
        <v>241</v>
      </c>
      <c r="D329" s="13" t="s">
        <v>231</v>
      </c>
      <c r="E329" s="14" t="n">
        <v>26.17</v>
      </c>
      <c r="F329" s="14" t="n">
        <v>36</v>
      </c>
      <c r="G329" s="14" t="n">
        <v>0.94</v>
      </c>
      <c r="H329" s="14"/>
      <c r="I329" s="14"/>
      <c r="J329" s="14" t="n">
        <v>65.78</v>
      </c>
      <c r="K329" s="14" t="n">
        <v>140.49</v>
      </c>
      <c r="L329" s="14" t="n">
        <v>1.46</v>
      </c>
      <c r="M329" s="14" t="n">
        <v>16.27</v>
      </c>
      <c r="N329" s="14" t="n">
        <v>3</v>
      </c>
      <c r="O329" s="14" t="n">
        <v>0.59</v>
      </c>
      <c r="P329" s="14" t="n">
        <v>1</v>
      </c>
      <c r="Q329" s="14"/>
      <c r="R329" s="14" t="n">
        <v>1.4</v>
      </c>
      <c r="S329" s="14" t="n">
        <v>164.2</v>
      </c>
      <c r="T329" s="14" t="n">
        <v>0.9</v>
      </c>
      <c r="U329" s="14" t="n">
        <v>10</v>
      </c>
      <c r="V329" s="14" t="n">
        <v>19.3</v>
      </c>
      <c r="W329" s="14" t="n">
        <v>194.4</v>
      </c>
      <c r="X329" s="14" t="n">
        <v>250.05</v>
      </c>
      <c r="Y329" s="14" t="n">
        <v>55.65</v>
      </c>
      <c r="Z329" s="14" t="n">
        <v>0.52</v>
      </c>
      <c r="AA329" s="14" t="n">
        <v>0</v>
      </c>
      <c r="AB329" s="14" t="n">
        <v>0</v>
      </c>
      <c r="AC329" s="14" t="n">
        <v>0</v>
      </c>
      <c r="AD329" s="15" t="n">
        <f aca="false">H329*E329/1000</f>
        <v>0</v>
      </c>
      <c r="AE329" s="15" t="n">
        <f aca="false">I329*E329/1000</f>
        <v>0</v>
      </c>
      <c r="AF329" s="16" t="n">
        <f aca="false">ROUND(S329+T329+U329+V329-W329,2)</f>
        <v>0</v>
      </c>
      <c r="AG329" s="16" t="n">
        <f aca="false">ROUND(X329-W329-Y329,2)</f>
        <v>0</v>
      </c>
    </row>
    <row r="330" customFormat="false" ht="15" hidden="false" customHeight="false" outlineLevel="0" collapsed="false">
      <c r="A330" s="13" t="s">
        <v>217</v>
      </c>
      <c r="B330" s="13" t="s">
        <v>291</v>
      </c>
      <c r="C330" s="13" t="s">
        <v>241</v>
      </c>
      <c r="D330" s="13" t="s">
        <v>230</v>
      </c>
      <c r="E330" s="14" t="n">
        <v>34.5</v>
      </c>
      <c r="F330" s="14" t="n">
        <v>120</v>
      </c>
      <c r="G330" s="14" t="n">
        <v>4.14</v>
      </c>
      <c r="H330" s="14"/>
      <c r="I330" s="14"/>
      <c r="J330" s="14" t="n">
        <v>61.31</v>
      </c>
      <c r="K330" s="14" t="n">
        <v>141.08</v>
      </c>
      <c r="L330" s="14" t="n">
        <v>1.57</v>
      </c>
      <c r="M330" s="14" t="n">
        <v>13.91</v>
      </c>
      <c r="N330" s="14" t="n">
        <v>3</v>
      </c>
      <c r="O330" s="14" t="n">
        <v>0.59</v>
      </c>
      <c r="P330" s="14" t="n">
        <v>1</v>
      </c>
      <c r="Q330" s="14"/>
      <c r="R330" s="14" t="n">
        <v>1.4</v>
      </c>
      <c r="S330" s="14" t="n">
        <v>162.54</v>
      </c>
      <c r="T330" s="14" t="n">
        <v>0.9</v>
      </c>
      <c r="U330" s="14" t="n">
        <v>10</v>
      </c>
      <c r="V330" s="14" t="n">
        <v>20.01</v>
      </c>
      <c r="W330" s="14" t="n">
        <v>193.45</v>
      </c>
      <c r="X330" s="14" t="n">
        <v>250.05</v>
      </c>
      <c r="Y330" s="14" t="n">
        <v>56.6</v>
      </c>
      <c r="Z330" s="14" t="n">
        <v>2.34</v>
      </c>
      <c r="AA330" s="14" t="n">
        <v>0</v>
      </c>
      <c r="AB330" s="14" t="n">
        <v>0</v>
      </c>
      <c r="AC330" s="14" t="n">
        <v>0</v>
      </c>
      <c r="AD330" s="15" t="n">
        <f aca="false">H330*E330/1000</f>
        <v>0</v>
      </c>
      <c r="AE330" s="15" t="n">
        <f aca="false">I330*E330/1000</f>
        <v>0</v>
      </c>
      <c r="AF330" s="16" t="n">
        <f aca="false">ROUND(S330+T330+U330+V330-W330,2)</f>
        <v>0</v>
      </c>
      <c r="AG330" s="16" t="n">
        <f aca="false">ROUND(X330-W330-Y330,2)</f>
        <v>0</v>
      </c>
    </row>
    <row r="331" customFormat="false" ht="15" hidden="false" customHeight="false" outlineLevel="0" collapsed="false">
      <c r="A331" s="13" t="s">
        <v>217</v>
      </c>
      <c r="B331" s="13" t="s">
        <v>291</v>
      </c>
      <c r="C331" s="13" t="s">
        <v>241</v>
      </c>
      <c r="D331" s="13" t="s">
        <v>289</v>
      </c>
      <c r="E331" s="14" t="n">
        <v>470</v>
      </c>
      <c r="F331" s="14" t="n">
        <v>3</v>
      </c>
      <c r="G331" s="14" t="n">
        <v>1.41</v>
      </c>
      <c r="H331" s="14"/>
      <c r="I331" s="14" t="n">
        <v>3</v>
      </c>
      <c r="J331" s="14" t="n">
        <v>66.3</v>
      </c>
      <c r="K331" s="14" t="n">
        <v>140.43</v>
      </c>
      <c r="L331" s="14" t="n">
        <v>1.45</v>
      </c>
      <c r="M331" s="14" t="n">
        <v>11.03</v>
      </c>
      <c r="N331" s="14" t="n">
        <v>3</v>
      </c>
      <c r="O331" s="14"/>
      <c r="P331" s="14" t="n">
        <v>1</v>
      </c>
      <c r="Q331" s="14"/>
      <c r="R331" s="14" t="n">
        <v>0.55</v>
      </c>
      <c r="S331" s="14" t="n">
        <v>157.46</v>
      </c>
      <c r="T331" s="14" t="n">
        <v>0.9</v>
      </c>
      <c r="U331" s="14" t="n">
        <v>10</v>
      </c>
      <c r="V331" s="14" t="n">
        <v>19.22</v>
      </c>
      <c r="W331" s="14" t="n">
        <v>187.59</v>
      </c>
      <c r="X331" s="14" t="n">
        <v>253.55</v>
      </c>
      <c r="Y331" s="14" t="n">
        <v>65.96</v>
      </c>
      <c r="Z331" s="14" t="n">
        <v>-0.76</v>
      </c>
      <c r="AA331" s="14" t="n">
        <v>0</v>
      </c>
      <c r="AB331" s="14" t="n">
        <v>0.76</v>
      </c>
      <c r="AC331" s="14" t="n">
        <v>0.93</v>
      </c>
      <c r="AD331" s="15" t="n">
        <f aca="false">H331*E331/1000</f>
        <v>0</v>
      </c>
      <c r="AE331" s="15" t="n">
        <f aca="false">I331*E331/1000</f>
        <v>1.41</v>
      </c>
      <c r="AF331" s="16" t="n">
        <f aca="false">ROUND(S331+T331+U331+V331-W331,2)</f>
        <v>-0.01</v>
      </c>
      <c r="AG331" s="16" t="n">
        <f aca="false">ROUND(X331-W331-Y331,2)</f>
        <v>0</v>
      </c>
    </row>
    <row r="332" customFormat="false" ht="15" hidden="false" customHeight="false" outlineLevel="0" collapsed="false">
      <c r="A332" s="13" t="s">
        <v>217</v>
      </c>
      <c r="B332" s="13" t="s">
        <v>291</v>
      </c>
      <c r="C332" s="13" t="s">
        <v>246</v>
      </c>
      <c r="D332" s="13" t="s">
        <v>231</v>
      </c>
      <c r="E332" s="14" t="n">
        <v>26.17</v>
      </c>
      <c r="F332" s="14" t="n">
        <v>6</v>
      </c>
      <c r="G332" s="14" t="n">
        <v>0.16</v>
      </c>
      <c r="H332" s="14" t="n">
        <v>3</v>
      </c>
      <c r="I332" s="14"/>
      <c r="J332" s="14" t="n">
        <v>65.78</v>
      </c>
      <c r="K332" s="14" t="n">
        <v>147.7</v>
      </c>
      <c r="L332" s="14" t="n">
        <v>1.46</v>
      </c>
      <c r="M332" s="14" t="n">
        <v>16.27</v>
      </c>
      <c r="N332" s="14" t="n">
        <v>3</v>
      </c>
      <c r="O332" s="14" t="n">
        <v>0.59</v>
      </c>
      <c r="P332" s="14" t="n">
        <v>1</v>
      </c>
      <c r="Q332" s="14"/>
      <c r="R332" s="14" t="n">
        <v>1.4</v>
      </c>
      <c r="S332" s="14" t="n">
        <v>171.41</v>
      </c>
      <c r="T332" s="14" t="n">
        <v>0.9</v>
      </c>
      <c r="U332" s="14" t="n">
        <v>10</v>
      </c>
      <c r="V332" s="14" t="n">
        <v>19.3</v>
      </c>
      <c r="W332" s="14" t="n">
        <v>201.61</v>
      </c>
      <c r="X332" s="14" t="n">
        <v>250.05</v>
      </c>
      <c r="Y332" s="14" t="n">
        <v>48.44</v>
      </c>
      <c r="Z332" s="14" t="n">
        <v>0</v>
      </c>
      <c r="AA332" s="14" t="n">
        <v>0.03</v>
      </c>
      <c r="AB332" s="14" t="n">
        <v>0</v>
      </c>
      <c r="AC332" s="14" t="n">
        <v>0.04</v>
      </c>
      <c r="AD332" s="15" t="n">
        <f aca="false">H332*E332/1000</f>
        <v>0.07851</v>
      </c>
      <c r="AE332" s="15" t="n">
        <f aca="false">I332*E332/1000</f>
        <v>0</v>
      </c>
      <c r="AF332" s="16" t="n">
        <f aca="false">ROUND(S332+T332+U332+V332-W332,2)</f>
        <v>0</v>
      </c>
      <c r="AG332" s="16" t="n">
        <f aca="false">ROUND(X332-W332-Y332,2)</f>
        <v>0</v>
      </c>
    </row>
    <row r="333" customFormat="false" ht="15" hidden="false" customHeight="false" outlineLevel="0" collapsed="false">
      <c r="A333" s="13" t="s">
        <v>217</v>
      </c>
      <c r="B333" s="13" t="s">
        <v>291</v>
      </c>
      <c r="C333" s="13" t="s">
        <v>246</v>
      </c>
      <c r="D333" s="13" t="s">
        <v>230</v>
      </c>
      <c r="E333" s="14" t="n">
        <v>34.5</v>
      </c>
      <c r="F333" s="14" t="n">
        <v>24</v>
      </c>
      <c r="G333" s="14" t="n">
        <v>0.83</v>
      </c>
      <c r="H333" s="14" t="n">
        <v>7</v>
      </c>
      <c r="I333" s="14" t="n">
        <v>1</v>
      </c>
      <c r="J333" s="14" t="n">
        <v>61.31</v>
      </c>
      <c r="K333" s="14" t="n">
        <v>148.31</v>
      </c>
      <c r="L333" s="14" t="n">
        <v>1.57</v>
      </c>
      <c r="M333" s="14" t="n">
        <v>13.91</v>
      </c>
      <c r="N333" s="14" t="n">
        <v>3</v>
      </c>
      <c r="O333" s="14" t="n">
        <v>0.59</v>
      </c>
      <c r="P333" s="14" t="n">
        <v>1</v>
      </c>
      <c r="Q333" s="14"/>
      <c r="R333" s="14" t="n">
        <v>1.4</v>
      </c>
      <c r="S333" s="14" t="n">
        <v>169.77</v>
      </c>
      <c r="T333" s="14" t="n">
        <v>0.9</v>
      </c>
      <c r="U333" s="14" t="n">
        <v>10</v>
      </c>
      <c r="V333" s="14" t="n">
        <v>20.01</v>
      </c>
      <c r="W333" s="14" t="n">
        <v>200.69</v>
      </c>
      <c r="X333" s="14" t="n">
        <v>250.05</v>
      </c>
      <c r="Y333" s="14" t="n">
        <v>49.36</v>
      </c>
      <c r="Z333" s="14" t="n">
        <v>0.15</v>
      </c>
      <c r="AA333" s="14" t="n">
        <v>0.1</v>
      </c>
      <c r="AB333" s="14" t="n">
        <v>0.02</v>
      </c>
      <c r="AC333" s="14" t="n">
        <v>0.14</v>
      </c>
      <c r="AD333" s="15" t="n">
        <f aca="false">H333*E333/1000</f>
        <v>0.2415</v>
      </c>
      <c r="AE333" s="15" t="n">
        <f aca="false">I333*E333/1000</f>
        <v>0.0345</v>
      </c>
      <c r="AF333" s="16" t="n">
        <f aca="false">ROUND(S333+T333+U333+V333-W333,2)</f>
        <v>-0.01</v>
      </c>
      <c r="AG333" s="16" t="n">
        <f aca="false">ROUND(X333-W333-Y333,2)</f>
        <v>0</v>
      </c>
    </row>
    <row r="334" customFormat="false" ht="15" hidden="false" customHeight="false" outlineLevel="0" collapsed="false">
      <c r="A334" s="13" t="s">
        <v>217</v>
      </c>
      <c r="B334" s="13" t="s">
        <v>291</v>
      </c>
      <c r="C334" s="13" t="s">
        <v>246</v>
      </c>
      <c r="D334" s="13" t="s">
        <v>257</v>
      </c>
      <c r="E334" s="14" t="n">
        <v>46.5</v>
      </c>
      <c r="F334" s="14" t="n">
        <v>424</v>
      </c>
      <c r="G334" s="14" t="n">
        <v>19.716</v>
      </c>
      <c r="H334" s="14"/>
      <c r="I334" s="14"/>
      <c r="J334" s="14" t="n">
        <v>66.54</v>
      </c>
      <c r="K334" s="14" t="n">
        <v>147.6</v>
      </c>
      <c r="L334" s="14" t="n">
        <v>1.44</v>
      </c>
      <c r="M334" s="14" t="n">
        <v>13.13</v>
      </c>
      <c r="N334" s="14" t="n">
        <v>4.93</v>
      </c>
      <c r="O334" s="14" t="n">
        <v>0.59</v>
      </c>
      <c r="P334" s="14" t="n">
        <v>1</v>
      </c>
      <c r="Q334" s="14"/>
      <c r="R334" s="14" t="n">
        <v>1.4</v>
      </c>
      <c r="S334" s="14" t="n">
        <v>170.09</v>
      </c>
      <c r="T334" s="14" t="n">
        <v>0.9</v>
      </c>
      <c r="U334" s="14" t="n">
        <v>10</v>
      </c>
      <c r="V334" s="14" t="n">
        <v>19.19</v>
      </c>
      <c r="W334" s="14" t="n">
        <v>200.18</v>
      </c>
      <c r="X334" s="14" t="n">
        <v>268.64</v>
      </c>
      <c r="Y334" s="14" t="n">
        <v>68.46</v>
      </c>
      <c r="Z334" s="14" t="n">
        <v>13.5</v>
      </c>
      <c r="AA334" s="14" t="n">
        <v>0</v>
      </c>
      <c r="AB334" s="14" t="n">
        <v>0</v>
      </c>
      <c r="AC334" s="14" t="n">
        <v>0</v>
      </c>
      <c r="AD334" s="15" t="n">
        <f aca="false">H334*E334/1000</f>
        <v>0</v>
      </c>
      <c r="AE334" s="15" t="n">
        <f aca="false">I334*E334/1000</f>
        <v>0</v>
      </c>
      <c r="AF334" s="16" t="n">
        <f aca="false">ROUND(S334+T334+U334+V334-W334,2)</f>
        <v>0</v>
      </c>
      <c r="AG334" s="16" t="n">
        <f aca="false">ROUND(X334-W334-Y334,2)</f>
        <v>0</v>
      </c>
    </row>
    <row r="335" customFormat="false" ht="15" hidden="false" customHeight="false" outlineLevel="0" collapsed="false">
      <c r="A335" s="13" t="s">
        <v>217</v>
      </c>
      <c r="B335" s="13" t="s">
        <v>291</v>
      </c>
      <c r="C335" s="13" t="s">
        <v>246</v>
      </c>
      <c r="D335" s="13" t="s">
        <v>258</v>
      </c>
      <c r="E335" s="14" t="n">
        <v>46.5</v>
      </c>
      <c r="F335" s="14" t="n">
        <v>424</v>
      </c>
      <c r="G335" s="14" t="n">
        <v>19.716</v>
      </c>
      <c r="H335" s="14" t="n">
        <v>1</v>
      </c>
      <c r="I335" s="14" t="n">
        <v>1</v>
      </c>
      <c r="J335" s="14" t="n">
        <v>67.51</v>
      </c>
      <c r="K335" s="14" t="n">
        <v>147.48</v>
      </c>
      <c r="L335" s="14" t="n">
        <v>1.42</v>
      </c>
      <c r="M335" s="14" t="n">
        <v>13.13</v>
      </c>
      <c r="N335" s="14" t="n">
        <v>4.93</v>
      </c>
      <c r="O335" s="14" t="n">
        <v>0.59</v>
      </c>
      <c r="P335" s="14" t="n">
        <v>1</v>
      </c>
      <c r="Q335" s="14"/>
      <c r="R335" s="14" t="n">
        <v>1.4</v>
      </c>
      <c r="S335" s="14" t="n">
        <v>169.95</v>
      </c>
      <c r="T335" s="14" t="n">
        <v>0.9</v>
      </c>
      <c r="U335" s="14" t="n">
        <v>10</v>
      </c>
      <c r="V335" s="14" t="n">
        <v>19.05</v>
      </c>
      <c r="W335" s="14" t="n">
        <v>199.9</v>
      </c>
      <c r="X335" s="14" t="n">
        <v>268.64</v>
      </c>
      <c r="Y335" s="14" t="n">
        <v>68.74</v>
      </c>
      <c r="Z335" s="14" t="n">
        <v>13.44</v>
      </c>
      <c r="AA335" s="14" t="n">
        <v>0.02</v>
      </c>
      <c r="AB335" s="14" t="n">
        <v>0.03</v>
      </c>
      <c r="AC335" s="14" t="n">
        <v>0.06</v>
      </c>
      <c r="AD335" s="15" t="n">
        <f aca="false">H335*E335/1000</f>
        <v>0.0465</v>
      </c>
      <c r="AE335" s="15" t="n">
        <f aca="false">I335*E335/1000</f>
        <v>0.0465</v>
      </c>
      <c r="AF335" s="16" t="n">
        <f aca="false">ROUND(S335+T335+U335+V335-W335,2)</f>
        <v>0</v>
      </c>
      <c r="AG335" s="16" t="n">
        <f aca="false">ROUND(X335-W335-Y335,2)</f>
        <v>0</v>
      </c>
    </row>
    <row r="336" customFormat="false" ht="15" hidden="false" customHeight="false" outlineLevel="0" collapsed="false">
      <c r="A336" s="13" t="s">
        <v>217</v>
      </c>
      <c r="B336" s="13" t="s">
        <v>297</v>
      </c>
      <c r="C336" s="13" t="s">
        <v>219</v>
      </c>
      <c r="D336" s="13" t="s">
        <v>232</v>
      </c>
      <c r="E336" s="14" t="n">
        <v>50.15</v>
      </c>
      <c r="F336" s="14" t="n">
        <v>18</v>
      </c>
      <c r="G336" s="14" t="n">
        <v>0.9</v>
      </c>
      <c r="H336" s="14"/>
      <c r="I336" s="14"/>
      <c r="J336" s="14" t="n">
        <v>67.99</v>
      </c>
      <c r="K336" s="14" t="n">
        <v>151.24</v>
      </c>
      <c r="L336" s="14" t="n">
        <v>1.41</v>
      </c>
      <c r="M336" s="14" t="n">
        <v>10.9</v>
      </c>
      <c r="N336" s="14" t="n">
        <v>4.4</v>
      </c>
      <c r="O336" s="14" t="n">
        <v>0.59</v>
      </c>
      <c r="P336" s="14" t="n">
        <v>1</v>
      </c>
      <c r="Q336" s="14"/>
      <c r="R336" s="14" t="n">
        <v>1.4</v>
      </c>
      <c r="S336" s="14" t="n">
        <v>170.94</v>
      </c>
      <c r="T336" s="14" t="n">
        <v>0.9</v>
      </c>
      <c r="U336" s="14" t="n">
        <v>10</v>
      </c>
      <c r="V336" s="14" t="n">
        <v>21.03</v>
      </c>
      <c r="W336" s="14" t="n">
        <v>202.87</v>
      </c>
      <c r="X336" s="14" t="n">
        <v>268.64</v>
      </c>
      <c r="Y336" s="14" t="n">
        <v>65.77</v>
      </c>
      <c r="Z336" s="14" t="n">
        <v>0.59</v>
      </c>
      <c r="AA336" s="14" t="n">
        <v>0</v>
      </c>
      <c r="AB336" s="14" t="n">
        <v>0</v>
      </c>
      <c r="AC336" s="14" t="n">
        <v>0</v>
      </c>
      <c r="AD336" s="15" t="n">
        <f aca="false">H336*E336/1000</f>
        <v>0</v>
      </c>
      <c r="AE336" s="15" t="n">
        <f aca="false">I336*E336/1000</f>
        <v>0</v>
      </c>
      <c r="AF336" s="16" t="n">
        <f aca="false">ROUND(S336+T336+U336+V336-W336,2)</f>
        <v>0</v>
      </c>
      <c r="AG336" s="16" t="n">
        <f aca="false">ROUND(X336-W336-Y336,2)</f>
        <v>0</v>
      </c>
    </row>
    <row r="337" customFormat="false" ht="15" hidden="false" customHeight="false" outlineLevel="0" collapsed="false">
      <c r="A337" s="13" t="s">
        <v>217</v>
      </c>
      <c r="B337" s="13" t="s">
        <v>297</v>
      </c>
      <c r="C337" s="13" t="s">
        <v>219</v>
      </c>
      <c r="D337" s="13" t="s">
        <v>257</v>
      </c>
      <c r="E337" s="14" t="n">
        <v>46.5</v>
      </c>
      <c r="F337" s="14" t="n">
        <v>236</v>
      </c>
      <c r="G337" s="14" t="n">
        <v>10.974</v>
      </c>
      <c r="H337" s="14" t="n">
        <v>86</v>
      </c>
      <c r="I337" s="14" t="n">
        <v>3</v>
      </c>
      <c r="J337" s="14" t="n">
        <v>66.54</v>
      </c>
      <c r="K337" s="14" t="n">
        <v>151.43</v>
      </c>
      <c r="L337" s="14" t="n">
        <v>1.44</v>
      </c>
      <c r="M337" s="14" t="n">
        <v>13.22</v>
      </c>
      <c r="N337" s="14" t="n">
        <v>4.4</v>
      </c>
      <c r="O337" s="14" t="n">
        <v>0.59</v>
      </c>
      <c r="P337" s="14" t="n">
        <v>1</v>
      </c>
      <c r="Q337" s="14"/>
      <c r="R337" s="14" t="n">
        <v>1.4</v>
      </c>
      <c r="S337" s="14" t="n">
        <v>173.48</v>
      </c>
      <c r="T337" s="14" t="n">
        <v>0.9</v>
      </c>
      <c r="U337" s="14" t="n">
        <v>10</v>
      </c>
      <c r="V337" s="14" t="n">
        <v>21.26</v>
      </c>
      <c r="W337" s="14" t="n">
        <v>205.64</v>
      </c>
      <c r="X337" s="14" t="n">
        <v>268.64</v>
      </c>
      <c r="Y337" s="14" t="n">
        <v>63</v>
      </c>
      <c r="Z337" s="14" t="n">
        <v>2.51</v>
      </c>
      <c r="AA337" s="14" t="n">
        <v>1.71</v>
      </c>
      <c r="AB337" s="14" t="n">
        <v>0.08</v>
      </c>
      <c r="AC337" s="14" t="n">
        <v>2.61</v>
      </c>
      <c r="AD337" s="15" t="n">
        <f aca="false">H337*E337/1000</f>
        <v>3.999</v>
      </c>
      <c r="AE337" s="15" t="n">
        <f aca="false">I337*E337/1000</f>
        <v>0.1395</v>
      </c>
      <c r="AF337" s="16" t="n">
        <f aca="false">ROUND(S337+T337+U337+V337-W337,2)</f>
        <v>0</v>
      </c>
      <c r="AG337" s="16" t="n">
        <f aca="false">ROUND(X337-W337-Y337,2)</f>
        <v>0</v>
      </c>
    </row>
    <row r="338" customFormat="false" ht="15" hidden="false" customHeight="false" outlineLevel="0" collapsed="false">
      <c r="A338" s="13" t="s">
        <v>217</v>
      </c>
      <c r="B338" s="13" t="s">
        <v>297</v>
      </c>
      <c r="C338" s="13" t="s">
        <v>219</v>
      </c>
      <c r="D338" s="13" t="s">
        <v>258</v>
      </c>
      <c r="E338" s="14" t="n">
        <v>46.5</v>
      </c>
      <c r="F338" s="14" t="n">
        <v>148</v>
      </c>
      <c r="G338" s="14" t="n">
        <v>6.882</v>
      </c>
      <c r="H338" s="14" t="n">
        <v>30</v>
      </c>
      <c r="I338" s="14" t="n">
        <v>1</v>
      </c>
      <c r="J338" s="14" t="n">
        <v>67.51</v>
      </c>
      <c r="K338" s="14" t="n">
        <v>151.3</v>
      </c>
      <c r="L338" s="14" t="n">
        <v>1.42</v>
      </c>
      <c r="M338" s="14" t="n">
        <v>13.22</v>
      </c>
      <c r="N338" s="14" t="n">
        <v>4.4</v>
      </c>
      <c r="O338" s="14" t="n">
        <v>0.59</v>
      </c>
      <c r="P338" s="14" t="n">
        <v>1</v>
      </c>
      <c r="Q338" s="14"/>
      <c r="R338" s="14" t="n">
        <v>1.4</v>
      </c>
      <c r="S338" s="14" t="n">
        <v>173.33</v>
      </c>
      <c r="T338" s="14" t="n">
        <v>0.9</v>
      </c>
      <c r="U338" s="14" t="n">
        <v>10</v>
      </c>
      <c r="V338" s="14" t="n">
        <v>21.11</v>
      </c>
      <c r="W338" s="14" t="n">
        <v>205.34</v>
      </c>
      <c r="X338" s="14" t="n">
        <v>268.64</v>
      </c>
      <c r="Y338" s="14" t="n">
        <v>63.3</v>
      </c>
      <c r="Z338" s="14" t="n">
        <v>2.82</v>
      </c>
      <c r="AA338" s="14" t="n">
        <v>0.59</v>
      </c>
      <c r="AB338" s="14" t="n">
        <v>0.03</v>
      </c>
      <c r="AC338" s="14" t="n">
        <v>0.91</v>
      </c>
      <c r="AD338" s="15" t="n">
        <f aca="false">H338*E338/1000</f>
        <v>1.395</v>
      </c>
      <c r="AE338" s="15" t="n">
        <f aca="false">I338*E338/1000</f>
        <v>0.0465</v>
      </c>
      <c r="AF338" s="16" t="n">
        <f aca="false">ROUND(S338+T338+U338+V338-W338,2)</f>
        <v>0</v>
      </c>
      <c r="AG338" s="16" t="n">
        <f aca="false">ROUND(X338-W338-Y338,2)</f>
        <v>0</v>
      </c>
    </row>
    <row r="339" customFormat="false" ht="15" hidden="false" customHeight="false" outlineLevel="0" collapsed="false">
      <c r="A339" s="13" t="s">
        <v>217</v>
      </c>
      <c r="B339" s="13" t="s">
        <v>297</v>
      </c>
      <c r="C339" s="13" t="s">
        <v>219</v>
      </c>
      <c r="D339" s="13" t="s">
        <v>298</v>
      </c>
      <c r="E339" s="14" t="n">
        <v>620</v>
      </c>
      <c r="F339" s="14" t="n">
        <v>6</v>
      </c>
      <c r="G339" s="14" t="n">
        <v>3.72</v>
      </c>
      <c r="H339" s="14"/>
      <c r="I339" s="14"/>
      <c r="J339" s="14" t="n">
        <v>76.36</v>
      </c>
      <c r="K339" s="14" t="n">
        <v>150.32</v>
      </c>
      <c r="L339" s="14" t="n">
        <v>1.26</v>
      </c>
      <c r="M339" s="14" t="n">
        <v>8.86</v>
      </c>
      <c r="N339" s="14" t="n">
        <v>4.4</v>
      </c>
      <c r="O339" s="14"/>
      <c r="P339" s="14" t="n">
        <v>1</v>
      </c>
      <c r="Q339" s="14"/>
      <c r="R339" s="14" t="n">
        <v>0.45</v>
      </c>
      <c r="S339" s="14" t="n">
        <v>166.29</v>
      </c>
      <c r="T339" s="14" t="n">
        <v>0.9</v>
      </c>
      <c r="U339" s="14" t="n">
        <v>10</v>
      </c>
      <c r="V339" s="14" t="n">
        <v>19.89</v>
      </c>
      <c r="W339" s="14" t="n">
        <v>197.08</v>
      </c>
      <c r="X339" s="14" t="n">
        <v>268.64</v>
      </c>
      <c r="Y339" s="14" t="n">
        <v>71.56</v>
      </c>
      <c r="Z339" s="14" t="n">
        <v>2.66</v>
      </c>
      <c r="AA339" s="14" t="n">
        <v>0</v>
      </c>
      <c r="AB339" s="14" t="n">
        <v>0</v>
      </c>
      <c r="AC339" s="14" t="n">
        <v>0</v>
      </c>
      <c r="AD339" s="15" t="n">
        <f aca="false">H339*E339/1000</f>
        <v>0</v>
      </c>
      <c r="AE339" s="15" t="n">
        <f aca="false">I339*E339/1000</f>
        <v>0</v>
      </c>
      <c r="AF339" s="16" t="n">
        <f aca="false">ROUND(S339+T339+U339+V339-W339,2)</f>
        <v>0</v>
      </c>
      <c r="AG339" s="16" t="n">
        <f aca="false">ROUND(X339-W339-Y339,2)</f>
        <v>0</v>
      </c>
    </row>
    <row r="340" customFormat="false" ht="15" hidden="false" customHeight="false" outlineLevel="0" collapsed="false">
      <c r="A340" s="13" t="s">
        <v>217</v>
      </c>
      <c r="B340" s="13" t="s">
        <v>297</v>
      </c>
      <c r="C340" s="13" t="s">
        <v>226</v>
      </c>
      <c r="D340" s="13" t="s">
        <v>231</v>
      </c>
      <c r="E340" s="14" t="n">
        <v>26.5</v>
      </c>
      <c r="F340" s="14" t="n">
        <v>6</v>
      </c>
      <c r="G340" s="14" t="n">
        <v>0.16</v>
      </c>
      <c r="H340" s="14"/>
      <c r="I340" s="14"/>
      <c r="J340" s="14" t="n">
        <v>60.42</v>
      </c>
      <c r="K340" s="14" t="n">
        <v>156.8</v>
      </c>
      <c r="L340" s="14" t="n">
        <v>1.59</v>
      </c>
      <c r="M340" s="14" t="n">
        <v>16.29</v>
      </c>
      <c r="N340" s="14" t="n">
        <v>5.4</v>
      </c>
      <c r="O340" s="14" t="n">
        <v>0.59</v>
      </c>
      <c r="P340" s="14" t="n">
        <v>1</v>
      </c>
      <c r="Q340" s="14"/>
      <c r="R340" s="14" t="n">
        <v>1.4</v>
      </c>
      <c r="S340" s="14" t="n">
        <v>183.06</v>
      </c>
      <c r="T340" s="14" t="n">
        <v>0.9</v>
      </c>
      <c r="U340" s="14" t="n">
        <v>13</v>
      </c>
      <c r="V340" s="14" t="n">
        <v>22.34</v>
      </c>
      <c r="W340" s="14" t="n">
        <v>219.3</v>
      </c>
      <c r="X340" s="14" t="n">
        <v>277.59</v>
      </c>
      <c r="Y340" s="14" t="n">
        <v>58.29</v>
      </c>
      <c r="Z340" s="14" t="n">
        <v>0.09</v>
      </c>
      <c r="AA340" s="14" t="n">
        <v>0</v>
      </c>
      <c r="AB340" s="14" t="n">
        <v>0</v>
      </c>
      <c r="AC340" s="14" t="n">
        <v>0</v>
      </c>
      <c r="AD340" s="15" t="n">
        <f aca="false">H340*E340/1000</f>
        <v>0</v>
      </c>
      <c r="AE340" s="15" t="n">
        <f aca="false">I340*E340/1000</f>
        <v>0</v>
      </c>
      <c r="AF340" s="16" t="n">
        <f aca="false">ROUND(S340+T340+U340+V340-W340,2)</f>
        <v>0</v>
      </c>
      <c r="AG340" s="16" t="n">
        <f aca="false">ROUND(X340-W340-Y340,2)</f>
        <v>0</v>
      </c>
    </row>
    <row r="341" customFormat="false" ht="15" hidden="false" customHeight="false" outlineLevel="0" collapsed="false">
      <c r="A341" s="13" t="s">
        <v>217</v>
      </c>
      <c r="B341" s="13" t="s">
        <v>297</v>
      </c>
      <c r="C341" s="13" t="s">
        <v>226</v>
      </c>
      <c r="D341" s="13" t="s">
        <v>236</v>
      </c>
      <c r="E341" s="14" t="n">
        <v>32.5</v>
      </c>
      <c r="F341" s="14" t="n">
        <v>150</v>
      </c>
      <c r="G341" s="14" t="n">
        <v>4.88</v>
      </c>
      <c r="H341" s="14" t="n">
        <v>19</v>
      </c>
      <c r="I341" s="14"/>
      <c r="J341" s="14" t="n">
        <v>62.63</v>
      </c>
      <c r="K341" s="14" t="n">
        <v>156.45</v>
      </c>
      <c r="L341" s="14" t="n">
        <v>1.53</v>
      </c>
      <c r="M341" s="14" t="n">
        <v>14.5</v>
      </c>
      <c r="N341" s="14" t="n">
        <v>5.4</v>
      </c>
      <c r="O341" s="14" t="n">
        <v>0.59</v>
      </c>
      <c r="P341" s="14" t="n">
        <v>1</v>
      </c>
      <c r="Q341" s="14"/>
      <c r="R341" s="14" t="n">
        <v>1.4</v>
      </c>
      <c r="S341" s="14" t="n">
        <v>180.87</v>
      </c>
      <c r="T341" s="14" t="n">
        <v>0.9</v>
      </c>
      <c r="U341" s="14" t="n">
        <v>13</v>
      </c>
      <c r="V341" s="14" t="n">
        <v>21.93</v>
      </c>
      <c r="W341" s="14" t="n">
        <v>216.7</v>
      </c>
      <c r="X341" s="14" t="n">
        <v>277.59</v>
      </c>
      <c r="Y341" s="14" t="n">
        <v>60.89</v>
      </c>
      <c r="Z341" s="14" t="n">
        <v>2.3</v>
      </c>
      <c r="AA341" s="14" t="n">
        <v>0.29</v>
      </c>
      <c r="AB341" s="14" t="n">
        <v>0</v>
      </c>
      <c r="AC341" s="14" t="n">
        <v>0.38</v>
      </c>
      <c r="AD341" s="15" t="n">
        <f aca="false">H341*E341/1000</f>
        <v>0.6175</v>
      </c>
      <c r="AE341" s="15" t="n">
        <f aca="false">I341*E341/1000</f>
        <v>0</v>
      </c>
      <c r="AF341" s="16" t="n">
        <f aca="false">ROUND(S341+T341+U341+V341-W341,2)</f>
        <v>0</v>
      </c>
      <c r="AG341" s="16" t="n">
        <f aca="false">ROUND(X341-W341-Y341,2)</f>
        <v>0</v>
      </c>
    </row>
    <row r="342" customFormat="false" ht="15" hidden="false" customHeight="false" outlineLevel="0" collapsed="false">
      <c r="A342" s="13" t="s">
        <v>217</v>
      </c>
      <c r="B342" s="13" t="s">
        <v>297</v>
      </c>
      <c r="C342" s="13" t="s">
        <v>226</v>
      </c>
      <c r="D342" s="13" t="s">
        <v>260</v>
      </c>
      <c r="E342" s="14" t="n">
        <v>22.8</v>
      </c>
      <c r="F342" s="14" t="n">
        <v>6</v>
      </c>
      <c r="G342" s="14" t="n">
        <v>0.14</v>
      </c>
      <c r="H342" s="14"/>
      <c r="I342" s="14"/>
      <c r="J342" s="14" t="n">
        <v>59.34</v>
      </c>
      <c r="K342" s="14" t="n">
        <v>156.97</v>
      </c>
      <c r="L342" s="14" t="n">
        <v>1.62</v>
      </c>
      <c r="M342" s="14" t="n">
        <v>17.87</v>
      </c>
      <c r="N342" s="14" t="n">
        <v>5.4</v>
      </c>
      <c r="O342" s="14" t="n">
        <v>0.59</v>
      </c>
      <c r="P342" s="14" t="n">
        <v>1</v>
      </c>
      <c r="Q342" s="14"/>
      <c r="R342" s="14" t="n">
        <v>1.4</v>
      </c>
      <c r="S342" s="14" t="n">
        <v>184.84</v>
      </c>
      <c r="T342" s="14" t="n">
        <v>0.9</v>
      </c>
      <c r="U342" s="14" t="n">
        <v>13</v>
      </c>
      <c r="V342" s="14" t="n">
        <v>22.56</v>
      </c>
      <c r="W342" s="14" t="n">
        <v>221.3</v>
      </c>
      <c r="X342" s="14" t="n">
        <v>277.59</v>
      </c>
      <c r="Y342" s="14" t="n">
        <v>56.29</v>
      </c>
      <c r="Z342" s="14" t="n">
        <v>0.08</v>
      </c>
      <c r="AA342" s="14" t="n">
        <v>0</v>
      </c>
      <c r="AB342" s="14" t="n">
        <v>0</v>
      </c>
      <c r="AC342" s="14" t="n">
        <v>0</v>
      </c>
      <c r="AD342" s="15" t="n">
        <f aca="false">H342*E342/1000</f>
        <v>0</v>
      </c>
      <c r="AE342" s="15" t="n">
        <f aca="false">I342*E342/1000</f>
        <v>0</v>
      </c>
      <c r="AF342" s="16" t="n">
        <f aca="false">ROUND(S342+T342+U342+V342-W342,2)</f>
        <v>0</v>
      </c>
      <c r="AG342" s="16" t="n">
        <f aca="false">ROUND(X342-W342-Y342,2)</f>
        <v>0</v>
      </c>
    </row>
    <row r="343" customFormat="false" ht="15" hidden="false" customHeight="false" outlineLevel="0" collapsed="false">
      <c r="A343" s="13" t="s">
        <v>217</v>
      </c>
      <c r="B343" s="13" t="s">
        <v>297</v>
      </c>
      <c r="C343" s="13" t="s">
        <v>226</v>
      </c>
      <c r="D343" s="13" t="s">
        <v>261</v>
      </c>
      <c r="E343" s="14" t="n">
        <v>21.7</v>
      </c>
      <c r="F343" s="14" t="n">
        <v>6</v>
      </c>
      <c r="G343" s="14" t="n">
        <v>0.13</v>
      </c>
      <c r="H343" s="14"/>
      <c r="I343" s="14"/>
      <c r="J343" s="14" t="n">
        <v>57.76</v>
      </c>
      <c r="K343" s="14" t="n">
        <v>157.24</v>
      </c>
      <c r="L343" s="14" t="n">
        <v>1.66</v>
      </c>
      <c r="M343" s="14" t="n">
        <v>19.19</v>
      </c>
      <c r="N343" s="14" t="n">
        <v>5.4</v>
      </c>
      <c r="O343" s="14" t="n">
        <v>0.59</v>
      </c>
      <c r="P343" s="14" t="n">
        <v>1</v>
      </c>
      <c r="Q343" s="14"/>
      <c r="R343" s="14" t="n">
        <v>1.4</v>
      </c>
      <c r="S343" s="14" t="n">
        <v>186.48</v>
      </c>
      <c r="T343" s="14" t="n">
        <v>0.9</v>
      </c>
      <c r="U343" s="14" t="n">
        <v>13</v>
      </c>
      <c r="V343" s="14" t="n">
        <v>22.89</v>
      </c>
      <c r="W343" s="14" t="n">
        <v>223.27</v>
      </c>
      <c r="X343" s="14" t="n">
        <v>277.59</v>
      </c>
      <c r="Y343" s="14" t="n">
        <v>54.32</v>
      </c>
      <c r="Z343" s="14" t="n">
        <v>0.07</v>
      </c>
      <c r="AA343" s="14" t="n">
        <v>0</v>
      </c>
      <c r="AB343" s="14" t="n">
        <v>0</v>
      </c>
      <c r="AC343" s="14" t="n">
        <v>0</v>
      </c>
      <c r="AD343" s="15" t="n">
        <f aca="false">H343*E343/1000</f>
        <v>0</v>
      </c>
      <c r="AE343" s="15" t="n">
        <f aca="false">I343*E343/1000</f>
        <v>0</v>
      </c>
      <c r="AF343" s="16" t="n">
        <f aca="false">ROUND(S343+T343+U343+V343-W343,2)</f>
        <v>0</v>
      </c>
      <c r="AG343" s="16" t="n">
        <f aca="false">ROUND(X343-W343-Y343,2)</f>
        <v>0</v>
      </c>
    </row>
    <row r="344" customFormat="false" ht="15" hidden="false" customHeight="false" outlineLevel="0" collapsed="false">
      <c r="A344" s="13" t="s">
        <v>217</v>
      </c>
      <c r="B344" s="13" t="s">
        <v>297</v>
      </c>
      <c r="C344" s="13" t="s">
        <v>226</v>
      </c>
      <c r="D344" s="13" t="s">
        <v>232</v>
      </c>
      <c r="E344" s="14" t="n">
        <v>50.15</v>
      </c>
      <c r="F344" s="14" t="n">
        <v>24</v>
      </c>
      <c r="G344" s="14" t="n">
        <v>1.2</v>
      </c>
      <c r="H344" s="14"/>
      <c r="I344" s="14"/>
      <c r="J344" s="14" t="n">
        <v>67.99</v>
      </c>
      <c r="K344" s="14" t="n">
        <v>155.71</v>
      </c>
      <c r="L344" s="14" t="n">
        <v>1.41</v>
      </c>
      <c r="M344" s="14" t="n">
        <v>11.37</v>
      </c>
      <c r="N344" s="14" t="n">
        <v>5.4</v>
      </c>
      <c r="O344" s="14" t="n">
        <v>0.59</v>
      </c>
      <c r="P344" s="14" t="n">
        <v>1</v>
      </c>
      <c r="Q344" s="14"/>
      <c r="R344" s="14" t="n">
        <v>1.4</v>
      </c>
      <c r="S344" s="14" t="n">
        <v>176.88</v>
      </c>
      <c r="T344" s="14" t="n">
        <v>0.9</v>
      </c>
      <c r="U344" s="14" t="n">
        <v>13</v>
      </c>
      <c r="V344" s="14" t="n">
        <v>21.03</v>
      </c>
      <c r="W344" s="14" t="n">
        <v>211.81</v>
      </c>
      <c r="X344" s="14" t="n">
        <v>268.64</v>
      </c>
      <c r="Y344" s="14" t="n">
        <v>56.83</v>
      </c>
      <c r="Z344" s="14" t="n">
        <v>0.68</v>
      </c>
      <c r="AA344" s="14" t="n">
        <v>0</v>
      </c>
      <c r="AB344" s="14" t="n">
        <v>0</v>
      </c>
      <c r="AC344" s="14" t="n">
        <v>0</v>
      </c>
      <c r="AD344" s="15" t="n">
        <f aca="false">H344*E344/1000</f>
        <v>0</v>
      </c>
      <c r="AE344" s="15" t="n">
        <f aca="false">I344*E344/1000</f>
        <v>0</v>
      </c>
      <c r="AF344" s="16" t="n">
        <f aca="false">ROUND(S344+T344+U344+V344-W344,2)</f>
        <v>0</v>
      </c>
      <c r="AG344" s="16" t="n">
        <f aca="false">ROUND(X344-W344-Y344,2)</f>
        <v>0</v>
      </c>
    </row>
    <row r="345" customFormat="false" ht="15" hidden="false" customHeight="false" outlineLevel="0" collapsed="false">
      <c r="A345" s="13" t="s">
        <v>217</v>
      </c>
      <c r="B345" s="13" t="s">
        <v>297</v>
      </c>
      <c r="C345" s="13" t="s">
        <v>226</v>
      </c>
      <c r="D345" s="13" t="s">
        <v>244</v>
      </c>
      <c r="E345" s="14" t="n">
        <v>37.5</v>
      </c>
      <c r="F345" s="14" t="n">
        <v>6</v>
      </c>
      <c r="G345" s="14" t="n">
        <v>0.23</v>
      </c>
      <c r="H345" s="14"/>
      <c r="I345" s="14"/>
      <c r="J345" s="14" t="n">
        <v>62.75</v>
      </c>
      <c r="K345" s="14" t="n">
        <v>156.44</v>
      </c>
      <c r="L345" s="14" t="n">
        <v>1.53</v>
      </c>
      <c r="M345" s="14" t="n">
        <v>11.94</v>
      </c>
      <c r="N345" s="14" t="n">
        <v>5.4</v>
      </c>
      <c r="O345" s="14" t="n">
        <v>0.59</v>
      </c>
      <c r="P345" s="14" t="n">
        <v>1</v>
      </c>
      <c r="Q345" s="14"/>
      <c r="R345" s="14" t="n">
        <v>1.4</v>
      </c>
      <c r="S345" s="14" t="n">
        <v>178.29</v>
      </c>
      <c r="T345" s="14" t="n">
        <v>0.9</v>
      </c>
      <c r="U345" s="14" t="n">
        <v>13</v>
      </c>
      <c r="V345" s="14" t="n">
        <v>21.91</v>
      </c>
      <c r="W345" s="14" t="n">
        <v>214.1</v>
      </c>
      <c r="X345" s="14" t="n">
        <v>277.59</v>
      </c>
      <c r="Y345" s="14" t="n">
        <v>63.49</v>
      </c>
      <c r="Z345" s="14" t="n">
        <v>0.14</v>
      </c>
      <c r="AA345" s="14" t="n">
        <v>0</v>
      </c>
      <c r="AB345" s="14" t="n">
        <v>0</v>
      </c>
      <c r="AC345" s="14" t="n">
        <v>0</v>
      </c>
      <c r="AD345" s="15" t="n">
        <f aca="false">H345*E345/1000</f>
        <v>0</v>
      </c>
      <c r="AE345" s="15" t="n">
        <f aca="false">I345*E345/1000</f>
        <v>0</v>
      </c>
      <c r="AF345" s="16" t="n">
        <f aca="false">ROUND(S345+T345+U345+V345-W345,2)</f>
        <v>0</v>
      </c>
      <c r="AG345" s="16" t="n">
        <f aca="false">ROUND(X345-W345-Y345,2)</f>
        <v>0</v>
      </c>
    </row>
    <row r="346" customFormat="false" ht="15" hidden="false" customHeight="false" outlineLevel="0" collapsed="false">
      <c r="A346" s="13" t="s">
        <v>217</v>
      </c>
      <c r="B346" s="13" t="s">
        <v>297</v>
      </c>
      <c r="C346" s="13" t="s">
        <v>226</v>
      </c>
      <c r="D346" s="13" t="s">
        <v>262</v>
      </c>
      <c r="E346" s="14" t="n">
        <v>45.5</v>
      </c>
      <c r="F346" s="14" t="n">
        <v>3</v>
      </c>
      <c r="G346" s="14" t="n">
        <v>0</v>
      </c>
      <c r="H346" s="14"/>
      <c r="I346" s="14"/>
      <c r="J346" s="14" t="n">
        <v>62.83</v>
      </c>
      <c r="K346" s="14" t="n">
        <v>156.42</v>
      </c>
      <c r="L346" s="14" t="n">
        <v>1.53</v>
      </c>
      <c r="M346" s="14" t="n">
        <v>15.29</v>
      </c>
      <c r="N346" s="14" t="n">
        <v>5.4</v>
      </c>
      <c r="O346" s="14" t="n">
        <v>0.59</v>
      </c>
      <c r="P346" s="14" t="n">
        <v>1</v>
      </c>
      <c r="Q346" s="14"/>
      <c r="R346" s="14" t="n">
        <v>1.4</v>
      </c>
      <c r="S346" s="14" t="n">
        <v>181.62</v>
      </c>
      <c r="T346" s="14" t="n">
        <v>0.9</v>
      </c>
      <c r="U346" s="14" t="n">
        <v>13</v>
      </c>
      <c r="V346" s="14" t="n">
        <v>21.89</v>
      </c>
      <c r="W346" s="14" t="n">
        <v>217.42</v>
      </c>
      <c r="X346" s="14" t="n">
        <v>277.59</v>
      </c>
      <c r="Y346" s="14" t="n">
        <v>60.17</v>
      </c>
      <c r="Z346" s="14" t="n">
        <v>0.08</v>
      </c>
      <c r="AA346" s="14" t="n">
        <v>0</v>
      </c>
      <c r="AB346" s="14" t="n">
        <v>0</v>
      </c>
      <c r="AC346" s="14" t="n">
        <v>0</v>
      </c>
      <c r="AD346" s="15" t="n">
        <f aca="false">H346*E346/1000</f>
        <v>0</v>
      </c>
      <c r="AE346" s="15" t="n">
        <f aca="false">I346*E346/1000</f>
        <v>0</v>
      </c>
      <c r="AF346" s="16" t="n">
        <f aca="false">ROUND(S346+T346+U346+V346-W346,2)</f>
        <v>-0.01</v>
      </c>
      <c r="AG346" s="16" t="n">
        <f aca="false">ROUND(X346-W346-Y346,2)</f>
        <v>0</v>
      </c>
    </row>
    <row r="347" customFormat="false" ht="15" hidden="false" customHeight="false" outlineLevel="0" collapsed="false">
      <c r="A347" s="13" t="s">
        <v>217</v>
      </c>
      <c r="B347" s="13" t="s">
        <v>297</v>
      </c>
      <c r="C347" s="13" t="s">
        <v>226</v>
      </c>
      <c r="D347" s="13" t="s">
        <v>257</v>
      </c>
      <c r="E347" s="14" t="n">
        <v>46.5</v>
      </c>
      <c r="F347" s="14" t="n">
        <v>92</v>
      </c>
      <c r="G347" s="14" t="n">
        <v>4.278</v>
      </c>
      <c r="H347" s="14" t="n">
        <v>49</v>
      </c>
      <c r="I347" s="14"/>
      <c r="J347" s="14" t="n">
        <v>65.83</v>
      </c>
      <c r="K347" s="14" t="n">
        <v>156</v>
      </c>
      <c r="L347" s="14" t="n">
        <v>1.46</v>
      </c>
      <c r="M347" s="14" t="n">
        <v>12.68</v>
      </c>
      <c r="N347" s="14" t="n">
        <v>5.4</v>
      </c>
      <c r="O347" s="14" t="n">
        <v>0.59</v>
      </c>
      <c r="P347" s="14" t="n">
        <v>1</v>
      </c>
      <c r="Q347" s="14"/>
      <c r="R347" s="14" t="n">
        <v>1.4</v>
      </c>
      <c r="S347" s="14" t="n">
        <v>178.52</v>
      </c>
      <c r="T347" s="14" t="n">
        <v>0.9</v>
      </c>
      <c r="U347" s="14" t="n">
        <v>13</v>
      </c>
      <c r="V347" s="14" t="n">
        <v>21.38</v>
      </c>
      <c r="W347" s="14" t="n">
        <v>213.8</v>
      </c>
      <c r="X347" s="14" t="n">
        <v>268.64</v>
      </c>
      <c r="Y347" s="14" t="n">
        <v>54.84</v>
      </c>
      <c r="Z347" s="14" t="n">
        <v>0.09</v>
      </c>
      <c r="AA347" s="14" t="n">
        <v>1.01</v>
      </c>
      <c r="AB347" s="14" t="n">
        <v>0</v>
      </c>
      <c r="AC347" s="14" t="n">
        <v>1.25</v>
      </c>
      <c r="AD347" s="15" t="n">
        <f aca="false">H347*E347/1000</f>
        <v>2.2785</v>
      </c>
      <c r="AE347" s="15" t="n">
        <f aca="false">I347*E347/1000</f>
        <v>0</v>
      </c>
      <c r="AF347" s="16" t="n">
        <f aca="false">ROUND(S347+T347+U347+V347-W347,2)</f>
        <v>0</v>
      </c>
      <c r="AG347" s="16" t="n">
        <f aca="false">ROUND(X347-W347-Y347,2)</f>
        <v>0</v>
      </c>
    </row>
    <row r="348" customFormat="false" ht="15" hidden="false" customHeight="false" outlineLevel="0" collapsed="false">
      <c r="A348" s="13" t="s">
        <v>217</v>
      </c>
      <c r="B348" s="13" t="s">
        <v>297</v>
      </c>
      <c r="C348" s="13" t="s">
        <v>226</v>
      </c>
      <c r="D348" s="13" t="s">
        <v>258</v>
      </c>
      <c r="E348" s="14" t="n">
        <v>46.5</v>
      </c>
      <c r="F348" s="14" t="n">
        <v>52</v>
      </c>
      <c r="G348" s="14" t="n">
        <v>2.418</v>
      </c>
      <c r="H348" s="14" t="n">
        <v>44</v>
      </c>
      <c r="I348" s="14" t="n">
        <v>2</v>
      </c>
      <c r="J348" s="14" t="n">
        <v>66.8</v>
      </c>
      <c r="K348" s="14" t="n">
        <v>155.87</v>
      </c>
      <c r="L348" s="14" t="n">
        <v>1.44</v>
      </c>
      <c r="M348" s="14" t="n">
        <v>12.59</v>
      </c>
      <c r="N348" s="14" t="n">
        <v>5.4</v>
      </c>
      <c r="O348" s="14" t="n">
        <v>0.59</v>
      </c>
      <c r="P348" s="14" t="n">
        <v>1</v>
      </c>
      <c r="Q348" s="14"/>
      <c r="R348" s="14" t="n">
        <v>1.4</v>
      </c>
      <c r="S348" s="14" t="n">
        <v>178.27</v>
      </c>
      <c r="T348" s="14" t="n">
        <v>0.9</v>
      </c>
      <c r="U348" s="14" t="n">
        <v>13</v>
      </c>
      <c r="V348" s="14" t="n">
        <v>21.22</v>
      </c>
      <c r="W348" s="14" t="n">
        <v>213.39</v>
      </c>
      <c r="X348" s="14" t="n">
        <v>268.64</v>
      </c>
      <c r="Y348" s="14" t="n">
        <v>55.25</v>
      </c>
      <c r="Z348" s="14" t="n">
        <v>-0.8</v>
      </c>
      <c r="AA348" s="14" t="n">
        <v>0.9</v>
      </c>
      <c r="AB348" s="14" t="n">
        <v>0.06</v>
      </c>
      <c r="AC348" s="14" t="n">
        <v>1.18</v>
      </c>
      <c r="AD348" s="15" t="n">
        <f aca="false">H348*E348/1000</f>
        <v>2.046</v>
      </c>
      <c r="AE348" s="15" t="n">
        <f aca="false">I348*E348/1000</f>
        <v>0.093</v>
      </c>
      <c r="AF348" s="16" t="n">
        <f aca="false">ROUND(S348+T348+U348+V348-W348,2)</f>
        <v>0</v>
      </c>
      <c r="AG348" s="16" t="n">
        <f aca="false">ROUND(X348-W348-Y348,2)</f>
        <v>0</v>
      </c>
    </row>
    <row r="349" customFormat="false" ht="15" hidden="false" customHeight="false" outlineLevel="0" collapsed="false">
      <c r="A349" s="13" t="s">
        <v>217</v>
      </c>
      <c r="B349" s="13" t="s">
        <v>297</v>
      </c>
      <c r="C349" s="13" t="s">
        <v>226</v>
      </c>
      <c r="D349" s="13" t="s">
        <v>298</v>
      </c>
      <c r="E349" s="14" t="n">
        <v>605</v>
      </c>
      <c r="F349" s="14" t="n">
        <v>118</v>
      </c>
      <c r="G349" s="14" t="n">
        <v>71.39</v>
      </c>
      <c r="H349" s="14" t="n">
        <v>0</v>
      </c>
      <c r="I349" s="14" t="n">
        <v>3</v>
      </c>
      <c r="J349" s="14" t="n">
        <v>67.02</v>
      </c>
      <c r="K349" s="14" t="n">
        <v>155.84</v>
      </c>
      <c r="L349" s="14" t="n">
        <v>1.43</v>
      </c>
      <c r="M349" s="14" t="n">
        <v>9.72</v>
      </c>
      <c r="N349" s="14" t="n">
        <v>5.4</v>
      </c>
      <c r="O349" s="14"/>
      <c r="P349" s="14" t="n">
        <v>1</v>
      </c>
      <c r="Q349" s="14"/>
      <c r="R349" s="14" t="n">
        <v>0.77</v>
      </c>
      <c r="S349" s="14" t="n">
        <v>174.16</v>
      </c>
      <c r="T349" s="14" t="n">
        <v>0.9</v>
      </c>
      <c r="U349" s="14" t="n">
        <v>13</v>
      </c>
      <c r="V349" s="14" t="n">
        <v>21.18</v>
      </c>
      <c r="W349" s="14" t="n">
        <v>209.25</v>
      </c>
      <c r="X349" s="14" t="n">
        <v>268.64</v>
      </c>
      <c r="Y349" s="14" t="n">
        <v>59.39</v>
      </c>
      <c r="Z349" s="14" t="n">
        <v>40.23</v>
      </c>
      <c r="AA349" s="14" t="n">
        <v>0</v>
      </c>
      <c r="AB349" s="14" t="n">
        <v>1.1</v>
      </c>
      <c r="AC349" s="14" t="n">
        <v>1.08</v>
      </c>
      <c r="AD349" s="15" t="n">
        <f aca="false">H349*E349/1000</f>
        <v>0</v>
      </c>
      <c r="AE349" s="15" t="n">
        <f aca="false">I349*E349/1000</f>
        <v>1.815</v>
      </c>
      <c r="AF349" s="16" t="n">
        <f aca="false">ROUND(S349+T349+U349+V349-W349,2)</f>
        <v>-0.01</v>
      </c>
      <c r="AG349" s="16" t="n">
        <f aca="false">ROUND(X349-W349-Y349,2)</f>
        <v>0</v>
      </c>
    </row>
    <row r="350" customFormat="false" ht="15" hidden="false" customHeight="false" outlineLevel="0" collapsed="false">
      <c r="A350" s="13" t="s">
        <v>217</v>
      </c>
      <c r="B350" s="13" t="s">
        <v>297</v>
      </c>
      <c r="C350" s="13" t="s">
        <v>226</v>
      </c>
      <c r="D350" s="13" t="s">
        <v>299</v>
      </c>
      <c r="E350" s="14" t="n">
        <v>595</v>
      </c>
      <c r="F350" s="14" t="n">
        <v>7</v>
      </c>
      <c r="G350" s="14" t="n">
        <v>4.165</v>
      </c>
      <c r="H350" s="14"/>
      <c r="I350" s="14"/>
      <c r="J350" s="14" t="n">
        <v>67.83</v>
      </c>
      <c r="K350" s="14" t="n">
        <v>155.73</v>
      </c>
      <c r="L350" s="14" t="n">
        <v>1.42</v>
      </c>
      <c r="M350" s="14" t="n">
        <v>9.83</v>
      </c>
      <c r="N350" s="14" t="n">
        <v>5.4</v>
      </c>
      <c r="O350" s="14"/>
      <c r="P350" s="14" t="n">
        <v>1</v>
      </c>
      <c r="Q350" s="14"/>
      <c r="R350" s="14" t="n">
        <v>0.85</v>
      </c>
      <c r="S350" s="14" t="n">
        <v>174.23</v>
      </c>
      <c r="T350" s="14" t="n">
        <v>0.9</v>
      </c>
      <c r="U350" s="14" t="n">
        <v>13</v>
      </c>
      <c r="V350" s="14" t="n">
        <v>21.06</v>
      </c>
      <c r="W350" s="14" t="n">
        <v>209.19</v>
      </c>
      <c r="X350" s="14" t="n">
        <v>268.64</v>
      </c>
      <c r="Y350" s="14" t="n">
        <v>59.45</v>
      </c>
      <c r="Z350" s="14" t="n">
        <v>2.48</v>
      </c>
      <c r="AA350" s="14" t="n">
        <v>0</v>
      </c>
      <c r="AB350" s="14" t="n">
        <v>0</v>
      </c>
      <c r="AC350" s="14" t="n">
        <v>0</v>
      </c>
      <c r="AD350" s="15" t="n">
        <f aca="false">H350*E350/1000</f>
        <v>0</v>
      </c>
      <c r="AE350" s="15" t="n">
        <f aca="false">I350*E350/1000</f>
        <v>0</v>
      </c>
      <c r="AF350" s="16" t="n">
        <f aca="false">ROUND(S350+T350+U350+V350-W350,2)</f>
        <v>0</v>
      </c>
      <c r="AG350" s="16" t="n">
        <f aca="false">ROUND(X350-W350-Y350,2)</f>
        <v>0</v>
      </c>
    </row>
    <row r="351" customFormat="false" ht="15" hidden="false" customHeight="false" outlineLevel="0" collapsed="false">
      <c r="A351" s="13" t="s">
        <v>217</v>
      </c>
      <c r="B351" s="13" t="s">
        <v>297</v>
      </c>
      <c r="C351" s="13" t="s">
        <v>259</v>
      </c>
      <c r="D351" s="13" t="s">
        <v>231</v>
      </c>
      <c r="E351" s="14" t="n">
        <v>26.5</v>
      </c>
      <c r="F351" s="14" t="n">
        <v>294</v>
      </c>
      <c r="G351" s="14" t="n">
        <v>7.79</v>
      </c>
      <c r="H351" s="14" t="n">
        <v>4</v>
      </c>
      <c r="I351" s="14"/>
      <c r="J351" s="14" t="n">
        <v>60.42</v>
      </c>
      <c r="K351" s="14" t="n">
        <v>165.97</v>
      </c>
      <c r="L351" s="14" t="n">
        <v>1.59</v>
      </c>
      <c r="M351" s="14" t="n">
        <v>16.29</v>
      </c>
      <c r="N351" s="14" t="n">
        <v>5.4</v>
      </c>
      <c r="O351" s="14" t="n">
        <v>0.59</v>
      </c>
      <c r="P351" s="14" t="n">
        <v>1</v>
      </c>
      <c r="Q351" s="14"/>
      <c r="R351" s="14" t="n">
        <v>1.4</v>
      </c>
      <c r="S351" s="14" t="n">
        <v>192.23</v>
      </c>
      <c r="T351" s="14" t="n">
        <v>0.9</v>
      </c>
      <c r="U351" s="14" t="n">
        <v>13</v>
      </c>
      <c r="V351" s="14" t="n">
        <v>21.14</v>
      </c>
      <c r="W351" s="14" t="n">
        <v>227.26</v>
      </c>
      <c r="X351" s="14" t="n">
        <v>289.86</v>
      </c>
      <c r="Y351" s="14" t="n">
        <v>62.6</v>
      </c>
      <c r="Z351" s="14" t="n">
        <v>4.76</v>
      </c>
      <c r="AA351" s="14" t="n">
        <v>0.05</v>
      </c>
      <c r="AB351" s="14" t="n">
        <v>0</v>
      </c>
      <c r="AC351" s="14" t="n">
        <v>0.07</v>
      </c>
      <c r="AD351" s="15" t="n">
        <f aca="false">H351*E351/1000</f>
        <v>0.106</v>
      </c>
      <c r="AE351" s="15" t="n">
        <f aca="false">I351*E351/1000</f>
        <v>0</v>
      </c>
      <c r="AF351" s="16" t="n">
        <f aca="false">ROUND(S351+T351+U351+V351-W351,2)</f>
        <v>0.01</v>
      </c>
      <c r="AG351" s="16" t="n">
        <f aca="false">ROUND(X351-W351-Y351,2)</f>
        <v>0</v>
      </c>
    </row>
    <row r="352" customFormat="false" ht="15" hidden="false" customHeight="false" outlineLevel="0" collapsed="false">
      <c r="A352" s="13" t="s">
        <v>217</v>
      </c>
      <c r="B352" s="13" t="s">
        <v>297</v>
      </c>
      <c r="C352" s="13" t="s">
        <v>259</v>
      </c>
      <c r="D352" s="13" t="s">
        <v>230</v>
      </c>
      <c r="E352" s="14" t="n">
        <v>34.5</v>
      </c>
      <c r="F352" s="14" t="n">
        <v>66</v>
      </c>
      <c r="G352" s="14" t="n">
        <v>2.28</v>
      </c>
      <c r="H352" s="14"/>
      <c r="I352" s="14"/>
      <c r="J352" s="14" t="n">
        <v>61.31</v>
      </c>
      <c r="K352" s="14" t="n">
        <v>165.82</v>
      </c>
      <c r="L352" s="14" t="n">
        <v>1.57</v>
      </c>
      <c r="M352" s="14" t="n">
        <v>14.47</v>
      </c>
      <c r="N352" s="14" t="n">
        <v>3</v>
      </c>
      <c r="O352" s="14" t="n">
        <v>0.59</v>
      </c>
      <c r="P352" s="14" t="n">
        <v>1</v>
      </c>
      <c r="Q352" s="14"/>
      <c r="R352" s="14" t="n">
        <v>1.4</v>
      </c>
      <c r="S352" s="14" t="n">
        <v>187.84</v>
      </c>
      <c r="T352" s="14" t="n">
        <v>0.9</v>
      </c>
      <c r="U352" s="14" t="n">
        <v>13</v>
      </c>
      <c r="V352" s="14" t="n">
        <v>20.97</v>
      </c>
      <c r="W352" s="14" t="n">
        <v>222.71</v>
      </c>
      <c r="X352" s="14" t="n">
        <v>289.86</v>
      </c>
      <c r="Y352" s="14" t="n">
        <v>67.15</v>
      </c>
      <c r="Z352" s="14" t="n">
        <v>1.53</v>
      </c>
      <c r="AA352" s="14" t="n">
        <v>0</v>
      </c>
      <c r="AB352" s="14" t="n">
        <v>0</v>
      </c>
      <c r="AC352" s="14" t="n">
        <v>0</v>
      </c>
      <c r="AD352" s="15" t="n">
        <f aca="false">H352*E352/1000</f>
        <v>0</v>
      </c>
      <c r="AE352" s="15" t="n">
        <f aca="false">I352*E352/1000</f>
        <v>0</v>
      </c>
      <c r="AF352" s="16" t="n">
        <f aca="false">ROUND(S352+T352+U352+V352-W352,2)</f>
        <v>0</v>
      </c>
      <c r="AG352" s="16" t="n">
        <f aca="false">ROUND(X352-W352-Y352,2)</f>
        <v>0</v>
      </c>
    </row>
    <row r="353" customFormat="false" ht="15" hidden="false" customHeight="false" outlineLevel="0" collapsed="false">
      <c r="A353" s="13" t="s">
        <v>217</v>
      </c>
      <c r="B353" s="13" t="s">
        <v>297</v>
      </c>
      <c r="C353" s="13" t="s">
        <v>259</v>
      </c>
      <c r="D353" s="13" t="s">
        <v>236</v>
      </c>
      <c r="E353" s="14" t="n">
        <v>32.5</v>
      </c>
      <c r="F353" s="14" t="n">
        <v>56</v>
      </c>
      <c r="G353" s="14" t="n">
        <v>1.82</v>
      </c>
      <c r="H353" s="14" t="n">
        <v>29</v>
      </c>
      <c r="I353" s="14" t="n">
        <v>1</v>
      </c>
      <c r="J353" s="14" t="n">
        <v>62.63</v>
      </c>
      <c r="K353" s="14" t="n">
        <v>165.6</v>
      </c>
      <c r="L353" s="14" t="n">
        <v>1.53</v>
      </c>
      <c r="M353" s="14" t="n">
        <v>14.5</v>
      </c>
      <c r="N353" s="14" t="n">
        <v>5.4</v>
      </c>
      <c r="O353" s="14" t="n">
        <v>0.59</v>
      </c>
      <c r="P353" s="14" t="n">
        <v>1</v>
      </c>
      <c r="Q353" s="14"/>
      <c r="R353" s="14" t="n">
        <v>1.4</v>
      </c>
      <c r="S353" s="14" t="n">
        <v>190.02</v>
      </c>
      <c r="T353" s="14" t="n">
        <v>0.9</v>
      </c>
      <c r="U353" s="14" t="n">
        <v>13</v>
      </c>
      <c r="V353" s="14" t="n">
        <v>20.74</v>
      </c>
      <c r="W353" s="14" t="n">
        <v>224.66</v>
      </c>
      <c r="X353" s="14" t="n">
        <v>289.86</v>
      </c>
      <c r="Y353" s="14" t="n">
        <v>65.2</v>
      </c>
      <c r="Z353" s="14" t="n">
        <v>0.09</v>
      </c>
      <c r="AA353" s="14" t="n">
        <v>0.44</v>
      </c>
      <c r="AB353" s="14" t="n">
        <v>0.02</v>
      </c>
      <c r="AC353" s="14" t="n">
        <v>0.64</v>
      </c>
      <c r="AD353" s="15" t="n">
        <f aca="false">H353*E353/1000</f>
        <v>0.9425</v>
      </c>
      <c r="AE353" s="15" t="n">
        <f aca="false">I353*E353/1000</f>
        <v>0.0325</v>
      </c>
      <c r="AF353" s="16" t="n">
        <f aca="false">ROUND(S353+T353+U353+V353-W353,2)</f>
        <v>0</v>
      </c>
      <c r="AG353" s="16" t="n">
        <f aca="false">ROUND(X353-W353-Y353,2)</f>
        <v>0</v>
      </c>
    </row>
    <row r="354" customFormat="false" ht="15" hidden="false" customHeight="false" outlineLevel="0" collapsed="false">
      <c r="A354" s="13" t="s">
        <v>217</v>
      </c>
      <c r="B354" s="13" t="s">
        <v>297</v>
      </c>
      <c r="C354" s="13" t="s">
        <v>259</v>
      </c>
      <c r="D354" s="13" t="s">
        <v>260</v>
      </c>
      <c r="E354" s="14" t="n">
        <v>22.8</v>
      </c>
      <c r="F354" s="14" t="n">
        <v>150</v>
      </c>
      <c r="G354" s="14" t="n">
        <v>3.42</v>
      </c>
      <c r="H354" s="14"/>
      <c r="I354" s="14"/>
      <c r="J354" s="14" t="n">
        <v>59.34</v>
      </c>
      <c r="K354" s="14" t="n">
        <v>166.15</v>
      </c>
      <c r="L354" s="14" t="n">
        <v>1.62</v>
      </c>
      <c r="M354" s="14" t="n">
        <v>17.87</v>
      </c>
      <c r="N354" s="14" t="n">
        <v>5.4</v>
      </c>
      <c r="O354" s="14" t="n">
        <v>0.59</v>
      </c>
      <c r="P354" s="14" t="n">
        <v>1</v>
      </c>
      <c r="Q354" s="14"/>
      <c r="R354" s="14" t="n">
        <v>1.4</v>
      </c>
      <c r="S354" s="14" t="n">
        <v>194.02</v>
      </c>
      <c r="T354" s="14" t="n">
        <v>0.9</v>
      </c>
      <c r="U354" s="14" t="n">
        <v>13</v>
      </c>
      <c r="V354" s="14" t="n">
        <v>21.34</v>
      </c>
      <c r="W354" s="14" t="n">
        <v>229.26</v>
      </c>
      <c r="X354" s="14" t="n">
        <v>289.86</v>
      </c>
      <c r="Y354" s="14" t="n">
        <v>60.6</v>
      </c>
      <c r="Z354" s="14" t="n">
        <v>2.07</v>
      </c>
      <c r="AA354" s="14" t="n">
        <v>0</v>
      </c>
      <c r="AB354" s="14" t="n">
        <v>0</v>
      </c>
      <c r="AC354" s="14" t="n">
        <v>0</v>
      </c>
      <c r="AD354" s="15" t="n">
        <f aca="false">H354*E354/1000</f>
        <v>0</v>
      </c>
      <c r="AE354" s="15" t="n">
        <f aca="false">I354*E354/1000</f>
        <v>0</v>
      </c>
      <c r="AF354" s="16" t="n">
        <f aca="false">ROUND(S354+T354+U354+V354-W354,2)</f>
        <v>0</v>
      </c>
      <c r="AG354" s="16" t="n">
        <f aca="false">ROUND(X354-W354-Y354,2)</f>
        <v>0</v>
      </c>
    </row>
    <row r="355" customFormat="false" ht="15" hidden="false" customHeight="false" outlineLevel="0" collapsed="false">
      <c r="A355" s="13" t="s">
        <v>217</v>
      </c>
      <c r="B355" s="13" t="s">
        <v>297</v>
      </c>
      <c r="C355" s="13" t="s">
        <v>259</v>
      </c>
      <c r="D355" s="13" t="s">
        <v>244</v>
      </c>
      <c r="E355" s="14" t="n">
        <v>37.5</v>
      </c>
      <c r="F355" s="14" t="n">
        <v>186</v>
      </c>
      <c r="G355" s="14" t="n">
        <v>6.98</v>
      </c>
      <c r="H355" s="14"/>
      <c r="I355" s="14"/>
      <c r="J355" s="14" t="n">
        <v>62.75</v>
      </c>
      <c r="K355" s="14" t="n">
        <v>165.58</v>
      </c>
      <c r="L355" s="14" t="n">
        <v>1.53</v>
      </c>
      <c r="M355" s="14" t="n">
        <v>11.94</v>
      </c>
      <c r="N355" s="14" t="n">
        <v>5.4</v>
      </c>
      <c r="O355" s="14" t="n">
        <v>0.59</v>
      </c>
      <c r="P355" s="14" t="n">
        <v>1</v>
      </c>
      <c r="Q355" s="14"/>
      <c r="R355" s="14" t="n">
        <v>1.4</v>
      </c>
      <c r="S355" s="14" t="n">
        <v>187.44</v>
      </c>
      <c r="T355" s="14" t="n">
        <v>0.9</v>
      </c>
      <c r="U355" s="14" t="n">
        <v>13</v>
      </c>
      <c r="V355" s="14" t="n">
        <v>20.72</v>
      </c>
      <c r="W355" s="14" t="n">
        <v>222.06</v>
      </c>
      <c r="X355" s="14" t="n">
        <v>289.86</v>
      </c>
      <c r="Y355" s="14" t="n">
        <v>67.8</v>
      </c>
      <c r="Z355" s="14" t="n">
        <v>4.73</v>
      </c>
      <c r="AA355" s="14" t="n">
        <v>0</v>
      </c>
      <c r="AB355" s="14" t="n">
        <v>0</v>
      </c>
      <c r="AC355" s="14" t="n">
        <v>0</v>
      </c>
      <c r="AD355" s="15" t="n">
        <f aca="false">H355*E355/1000</f>
        <v>0</v>
      </c>
      <c r="AE355" s="15" t="n">
        <f aca="false">I355*E355/1000</f>
        <v>0</v>
      </c>
      <c r="AF355" s="16" t="n">
        <f aca="false">ROUND(S355+T355+U355+V355-W355,2)</f>
        <v>0</v>
      </c>
      <c r="AG355" s="16" t="n">
        <f aca="false">ROUND(X355-W355-Y355,2)</f>
        <v>0</v>
      </c>
    </row>
    <row r="356" customFormat="false" ht="15" hidden="false" customHeight="false" outlineLevel="0" collapsed="false">
      <c r="A356" s="13" t="s">
        <v>217</v>
      </c>
      <c r="B356" s="13" t="s">
        <v>297</v>
      </c>
      <c r="C356" s="13" t="s">
        <v>259</v>
      </c>
      <c r="D356" s="13" t="s">
        <v>262</v>
      </c>
      <c r="E356" s="14" t="n">
        <v>45.5</v>
      </c>
      <c r="F356" s="14" t="n">
        <v>48</v>
      </c>
      <c r="G356" s="14" t="n">
        <v>2</v>
      </c>
      <c r="H356" s="14"/>
      <c r="I356" s="14"/>
      <c r="J356" s="14" t="n">
        <v>62.83</v>
      </c>
      <c r="K356" s="14" t="n">
        <v>165.57</v>
      </c>
      <c r="L356" s="14" t="n">
        <v>1.53</v>
      </c>
      <c r="M356" s="14" t="n">
        <v>15.29</v>
      </c>
      <c r="N356" s="14" t="n">
        <v>5.4</v>
      </c>
      <c r="O356" s="14" t="n">
        <v>0.59</v>
      </c>
      <c r="P356" s="14" t="n">
        <v>1</v>
      </c>
      <c r="Q356" s="14"/>
      <c r="R356" s="14" t="n">
        <v>1.4</v>
      </c>
      <c r="S356" s="14" t="n">
        <v>190.77</v>
      </c>
      <c r="T356" s="14" t="n">
        <v>0.9</v>
      </c>
      <c r="U356" s="14" t="n">
        <v>13</v>
      </c>
      <c r="V356" s="14" t="n">
        <v>20.71</v>
      </c>
      <c r="W356" s="14" t="n">
        <v>225.38</v>
      </c>
      <c r="X356" s="14" t="n">
        <v>289.86</v>
      </c>
      <c r="Y356" s="14" t="n">
        <v>64.48</v>
      </c>
      <c r="Z356" s="14" t="n">
        <v>1.41</v>
      </c>
      <c r="AA356" s="14" t="n">
        <v>0</v>
      </c>
      <c r="AB356" s="14" t="n">
        <v>0</v>
      </c>
      <c r="AC356" s="14" t="n">
        <v>0</v>
      </c>
      <c r="AD356" s="15" t="n">
        <f aca="false">H356*E356/1000</f>
        <v>0</v>
      </c>
      <c r="AE356" s="15" t="n">
        <f aca="false">I356*E356/1000</f>
        <v>0</v>
      </c>
      <c r="AF356" s="16" t="n">
        <f aca="false">ROUND(S356+T356+U356+V356-W356,2)</f>
        <v>0</v>
      </c>
      <c r="AG356" s="16" t="n">
        <f aca="false">ROUND(X356-W356-Y356,2)</f>
        <v>0</v>
      </c>
    </row>
    <row r="357" customFormat="false" ht="15" hidden="false" customHeight="false" outlineLevel="0" collapsed="false">
      <c r="A357" s="13" t="s">
        <v>217</v>
      </c>
      <c r="B357" s="13" t="s">
        <v>297</v>
      </c>
      <c r="C357" s="13" t="s">
        <v>259</v>
      </c>
      <c r="D357" s="13" t="s">
        <v>298</v>
      </c>
      <c r="E357" s="14" t="n">
        <v>605</v>
      </c>
      <c r="F357" s="14" t="n">
        <v>61</v>
      </c>
      <c r="G357" s="14" t="n">
        <v>36.905</v>
      </c>
      <c r="H357" s="14" t="n">
        <v>0</v>
      </c>
      <c r="I357" s="14" t="n">
        <v>9</v>
      </c>
      <c r="J357" s="14" t="n">
        <v>67.02</v>
      </c>
      <c r="K357" s="14" t="n">
        <v>164.95</v>
      </c>
      <c r="L357" s="14" t="n">
        <v>1.43</v>
      </c>
      <c r="M357" s="14" t="n">
        <v>9.72</v>
      </c>
      <c r="N357" s="14" t="n">
        <v>5.4</v>
      </c>
      <c r="O357" s="14"/>
      <c r="P357" s="14" t="n">
        <v>1</v>
      </c>
      <c r="Q357" s="14"/>
      <c r="R357" s="14" t="n">
        <v>0.77</v>
      </c>
      <c r="S357" s="14" t="n">
        <v>183.27</v>
      </c>
      <c r="T357" s="14" t="n">
        <v>0.9</v>
      </c>
      <c r="U357" s="14" t="n">
        <v>13</v>
      </c>
      <c r="V357" s="14" t="n">
        <v>20.04</v>
      </c>
      <c r="W357" s="14" t="n">
        <v>217.21</v>
      </c>
      <c r="X357" s="14" t="n">
        <v>289.86</v>
      </c>
      <c r="Y357" s="14" t="n">
        <v>72.65</v>
      </c>
      <c r="Z357" s="14" t="n">
        <v>19.59</v>
      </c>
      <c r="AA357" s="14" t="n">
        <v>0</v>
      </c>
      <c r="AB357" s="14" t="n">
        <v>3.26</v>
      </c>
      <c r="AC357" s="14" t="n">
        <v>3.96</v>
      </c>
      <c r="AD357" s="15" t="n">
        <f aca="false">H357*E357/1000</f>
        <v>0</v>
      </c>
      <c r="AE357" s="15" t="n">
        <f aca="false">I357*E357/1000</f>
        <v>5.445</v>
      </c>
      <c r="AF357" s="16" t="n">
        <f aca="false">ROUND(S357+T357+U357+V357-W357,2)</f>
        <v>0</v>
      </c>
      <c r="AG357" s="16" t="n">
        <f aca="false">ROUND(X357-W357-Y357,2)</f>
        <v>0</v>
      </c>
    </row>
    <row r="358" customFormat="false" ht="15" hidden="false" customHeight="false" outlineLevel="0" collapsed="false">
      <c r="A358" s="13" t="s">
        <v>217</v>
      </c>
      <c r="B358" s="13" t="s">
        <v>297</v>
      </c>
      <c r="C358" s="13" t="s">
        <v>259</v>
      </c>
      <c r="D358" s="13" t="s">
        <v>299</v>
      </c>
      <c r="E358" s="14" t="n">
        <v>595</v>
      </c>
      <c r="F358" s="14" t="n">
        <v>52</v>
      </c>
      <c r="G358" s="14" t="n">
        <v>30.94</v>
      </c>
      <c r="H358" s="14" t="n">
        <v>0</v>
      </c>
      <c r="I358" s="14" t="n">
        <v>1</v>
      </c>
      <c r="J358" s="14" t="n">
        <v>67.83</v>
      </c>
      <c r="K358" s="14" t="n">
        <v>164.84</v>
      </c>
      <c r="L358" s="14" t="n">
        <v>1.42</v>
      </c>
      <c r="M358" s="14" t="n">
        <v>9.83</v>
      </c>
      <c r="N358" s="14" t="n">
        <v>5.4</v>
      </c>
      <c r="O358" s="14"/>
      <c r="P358" s="14" t="n">
        <v>1</v>
      </c>
      <c r="Q358" s="14"/>
      <c r="R358" s="14" t="n">
        <v>0.85</v>
      </c>
      <c r="S358" s="14" t="n">
        <v>183.34</v>
      </c>
      <c r="T358" s="14" t="n">
        <v>0.9</v>
      </c>
      <c r="U358" s="14" t="n">
        <v>13</v>
      </c>
      <c r="V358" s="14" t="n">
        <v>19.92</v>
      </c>
      <c r="W358" s="14" t="n">
        <v>217.16</v>
      </c>
      <c r="X358" s="14" t="n">
        <v>289.86</v>
      </c>
      <c r="Y358" s="14" t="n">
        <v>72.7</v>
      </c>
      <c r="Z358" s="14" t="n">
        <v>21.71</v>
      </c>
      <c r="AA358" s="14" t="n">
        <v>0</v>
      </c>
      <c r="AB358" s="14" t="n">
        <v>0.36</v>
      </c>
      <c r="AC358" s="14" t="n">
        <v>0.43</v>
      </c>
      <c r="AD358" s="15" t="n">
        <f aca="false">H358*E358/1000</f>
        <v>0</v>
      </c>
      <c r="AE358" s="15" t="n">
        <f aca="false">I358*E358/1000</f>
        <v>0.595</v>
      </c>
      <c r="AF358" s="16" t="n">
        <f aca="false">ROUND(S358+T358+U358+V358-W358,2)</f>
        <v>0</v>
      </c>
      <c r="AG358" s="16" t="n">
        <f aca="false">ROUND(X358-W358-Y358,2)</f>
        <v>0</v>
      </c>
    </row>
    <row r="359" customFormat="false" ht="15" hidden="false" customHeight="false" outlineLevel="0" collapsed="false">
      <c r="A359" s="13" t="s">
        <v>217</v>
      </c>
      <c r="B359" s="13" t="s">
        <v>297</v>
      </c>
      <c r="C359" s="13" t="s">
        <v>263</v>
      </c>
      <c r="D359" s="13" t="s">
        <v>231</v>
      </c>
      <c r="E359" s="14" t="n">
        <v>26.5</v>
      </c>
      <c r="F359" s="14" t="n">
        <v>804</v>
      </c>
      <c r="G359" s="14" t="n">
        <v>21.31</v>
      </c>
      <c r="H359" s="14" t="n">
        <v>38</v>
      </c>
      <c r="I359" s="14" t="n">
        <v>4</v>
      </c>
      <c r="J359" s="14" t="n">
        <v>60.42</v>
      </c>
      <c r="K359" s="14" t="n">
        <v>169.47</v>
      </c>
      <c r="L359" s="14" t="n">
        <v>1.59</v>
      </c>
      <c r="M359" s="14" t="n">
        <v>18.42</v>
      </c>
      <c r="N359" s="14" t="n">
        <v>5</v>
      </c>
      <c r="O359" s="14" t="n">
        <v>0.59</v>
      </c>
      <c r="P359" s="14" t="n">
        <v>1</v>
      </c>
      <c r="Q359" s="14"/>
      <c r="R359" s="14" t="n">
        <v>1.4</v>
      </c>
      <c r="S359" s="14" t="n">
        <v>197.46</v>
      </c>
      <c r="T359" s="14" t="n">
        <v>0.9</v>
      </c>
      <c r="U359" s="14" t="n">
        <v>13</v>
      </c>
      <c r="V359" s="14" t="n">
        <v>21.14</v>
      </c>
      <c r="W359" s="14" t="n">
        <v>232.5</v>
      </c>
      <c r="X359" s="14" t="n">
        <v>289.86</v>
      </c>
      <c r="Y359" s="14" t="n">
        <v>57.36</v>
      </c>
      <c r="Z359" s="14" t="n">
        <v>10.99</v>
      </c>
      <c r="AA359" s="14" t="n">
        <v>0.52</v>
      </c>
      <c r="AB359" s="14" t="n">
        <v>0.07</v>
      </c>
      <c r="AC359" s="14" t="n">
        <v>0.64</v>
      </c>
      <c r="AD359" s="15" t="n">
        <f aca="false">H359*E359/1000</f>
        <v>1.007</v>
      </c>
      <c r="AE359" s="15" t="n">
        <f aca="false">I359*E359/1000</f>
        <v>0.106</v>
      </c>
      <c r="AF359" s="16" t="n">
        <f aca="false">ROUND(S359+T359+U359+V359-W359,2)</f>
        <v>0</v>
      </c>
      <c r="AG359" s="16" t="n">
        <f aca="false">ROUND(X359-W359-Y359,2)</f>
        <v>0</v>
      </c>
    </row>
    <row r="360" customFormat="false" ht="15" hidden="false" customHeight="false" outlineLevel="0" collapsed="false">
      <c r="A360" s="13" t="s">
        <v>217</v>
      </c>
      <c r="B360" s="13" t="s">
        <v>297</v>
      </c>
      <c r="C360" s="13" t="s">
        <v>263</v>
      </c>
      <c r="D360" s="13" t="s">
        <v>230</v>
      </c>
      <c r="E360" s="14" t="n">
        <v>34.5</v>
      </c>
      <c r="F360" s="14" t="n">
        <v>930</v>
      </c>
      <c r="G360" s="14" t="n">
        <v>32.09</v>
      </c>
      <c r="H360" s="14" t="n">
        <v>98</v>
      </c>
      <c r="I360" s="14" t="n">
        <v>3</v>
      </c>
      <c r="J360" s="14" t="n">
        <v>61.31</v>
      </c>
      <c r="K360" s="14" t="n">
        <v>169.32</v>
      </c>
      <c r="L360" s="14" t="n">
        <v>1.57</v>
      </c>
      <c r="M360" s="14" t="n">
        <v>16.37</v>
      </c>
      <c r="N360" s="14" t="n">
        <v>5</v>
      </c>
      <c r="O360" s="14" t="n">
        <v>0.59</v>
      </c>
      <c r="P360" s="14" t="n">
        <v>1</v>
      </c>
      <c r="Q360" s="14"/>
      <c r="R360" s="14" t="n">
        <v>1.4</v>
      </c>
      <c r="S360" s="14" t="n">
        <v>195.24</v>
      </c>
      <c r="T360" s="14" t="n">
        <v>0.9</v>
      </c>
      <c r="U360" s="14" t="n">
        <v>13</v>
      </c>
      <c r="V360" s="14" t="n">
        <v>20.97</v>
      </c>
      <c r="W360" s="14" t="n">
        <v>230.11</v>
      </c>
      <c r="X360" s="14" t="n">
        <v>289.86</v>
      </c>
      <c r="Y360" s="14" t="n">
        <v>59.75</v>
      </c>
      <c r="Z360" s="14" t="n">
        <v>15.35</v>
      </c>
      <c r="AA360" s="14" t="n">
        <v>1.67</v>
      </c>
      <c r="AB360" s="14" t="n">
        <v>0.07</v>
      </c>
      <c r="AC360" s="14" t="n">
        <v>2.08</v>
      </c>
      <c r="AD360" s="15" t="n">
        <f aca="false">H360*E360/1000</f>
        <v>3.381</v>
      </c>
      <c r="AE360" s="15" t="n">
        <f aca="false">I360*E360/1000</f>
        <v>0.1035</v>
      </c>
      <c r="AF360" s="16" t="n">
        <f aca="false">ROUND(S360+T360+U360+V360-W360,2)</f>
        <v>0</v>
      </c>
      <c r="AG360" s="16" t="n">
        <f aca="false">ROUND(X360-W360-Y360,2)</f>
        <v>0</v>
      </c>
    </row>
    <row r="361" customFormat="false" ht="15" hidden="false" customHeight="false" outlineLevel="0" collapsed="false">
      <c r="A361" s="13" t="s">
        <v>217</v>
      </c>
      <c r="B361" s="13" t="s">
        <v>297</v>
      </c>
      <c r="C361" s="13" t="s">
        <v>263</v>
      </c>
      <c r="D361" s="13" t="s">
        <v>236</v>
      </c>
      <c r="E361" s="14" t="n">
        <v>32.5</v>
      </c>
      <c r="F361" s="14" t="n">
        <v>168</v>
      </c>
      <c r="G361" s="14" t="n">
        <v>5.46</v>
      </c>
      <c r="H361" s="14" t="n">
        <v>28</v>
      </c>
      <c r="I361" s="14" t="n">
        <v>1</v>
      </c>
      <c r="J361" s="14" t="n">
        <v>62.63</v>
      </c>
      <c r="K361" s="14" t="n">
        <v>169.1</v>
      </c>
      <c r="L361" s="14" t="n">
        <v>1.53</v>
      </c>
      <c r="M361" s="14" t="n">
        <v>16.28</v>
      </c>
      <c r="N361" s="14" t="n">
        <v>5</v>
      </c>
      <c r="O361" s="14" t="n">
        <v>0.59</v>
      </c>
      <c r="P361" s="14" t="n">
        <v>1</v>
      </c>
      <c r="Q361" s="14"/>
      <c r="R361" s="14" t="n">
        <v>1.4</v>
      </c>
      <c r="S361" s="14" t="n">
        <v>194.9</v>
      </c>
      <c r="T361" s="14" t="n">
        <v>0.9</v>
      </c>
      <c r="U361" s="14" t="n">
        <v>13</v>
      </c>
      <c r="V361" s="14" t="n">
        <v>20.74</v>
      </c>
      <c r="W361" s="14" t="n">
        <v>229.55</v>
      </c>
      <c r="X361" s="14" t="n">
        <v>294.4</v>
      </c>
      <c r="Y361" s="14" t="n">
        <v>64.85</v>
      </c>
      <c r="Z361" s="14" t="n">
        <v>2.46</v>
      </c>
      <c r="AA361" s="14" t="n">
        <v>0.44</v>
      </c>
      <c r="AB361" s="14" t="n">
        <v>0.02</v>
      </c>
      <c r="AC361" s="14" t="n">
        <v>0.61</v>
      </c>
      <c r="AD361" s="15" t="n">
        <f aca="false">H361*E361/1000</f>
        <v>0.91</v>
      </c>
      <c r="AE361" s="15" t="n">
        <f aca="false">I361*E361/1000</f>
        <v>0.0325</v>
      </c>
      <c r="AF361" s="16" t="n">
        <f aca="false">ROUND(S361+T361+U361+V361-W361,2)</f>
        <v>-0.01</v>
      </c>
      <c r="AG361" s="16" t="n">
        <f aca="false">ROUND(X361-W361-Y361,2)</f>
        <v>0</v>
      </c>
    </row>
    <row r="362" customFormat="false" ht="15" hidden="false" customHeight="false" outlineLevel="0" collapsed="false">
      <c r="A362" s="13" t="s">
        <v>217</v>
      </c>
      <c r="B362" s="13" t="s">
        <v>297</v>
      </c>
      <c r="C362" s="13" t="s">
        <v>263</v>
      </c>
      <c r="D362" s="13" t="s">
        <v>260</v>
      </c>
      <c r="E362" s="14" t="n">
        <v>22.8</v>
      </c>
      <c r="F362" s="14" t="n">
        <v>24</v>
      </c>
      <c r="G362" s="14" t="n">
        <v>0.55</v>
      </c>
      <c r="H362" s="14" t="n">
        <v>4</v>
      </c>
      <c r="I362" s="14"/>
      <c r="J362" s="14" t="n">
        <v>59.34</v>
      </c>
      <c r="K362" s="14" t="n">
        <v>169.66</v>
      </c>
      <c r="L362" s="14" t="n">
        <v>1.62</v>
      </c>
      <c r="M362" s="14" t="n">
        <v>20.18</v>
      </c>
      <c r="N362" s="14" t="n">
        <v>5</v>
      </c>
      <c r="O362" s="14" t="n">
        <v>0.59</v>
      </c>
      <c r="P362" s="14" t="n">
        <v>1</v>
      </c>
      <c r="Q362" s="14"/>
      <c r="R362" s="14" t="n">
        <v>1.4</v>
      </c>
      <c r="S362" s="14" t="n">
        <v>199.44</v>
      </c>
      <c r="T362" s="14" t="n">
        <v>0.9</v>
      </c>
      <c r="U362" s="14" t="n">
        <v>13</v>
      </c>
      <c r="V362" s="14" t="n">
        <v>21.34</v>
      </c>
      <c r="W362" s="14" t="n">
        <v>234.68</v>
      </c>
      <c r="X362" s="14" t="n">
        <v>289.86</v>
      </c>
      <c r="Y362" s="14" t="n">
        <v>55.18</v>
      </c>
      <c r="Z362" s="14" t="n">
        <v>0.2</v>
      </c>
      <c r="AA362" s="14" t="n">
        <v>0.05</v>
      </c>
      <c r="AB362" s="14" t="n">
        <v>0</v>
      </c>
      <c r="AC362" s="14" t="n">
        <v>0.05</v>
      </c>
      <c r="AD362" s="15" t="n">
        <f aca="false">H362*E362/1000</f>
        <v>0.0912</v>
      </c>
      <c r="AE362" s="15" t="n">
        <f aca="false">I362*E362/1000</f>
        <v>0</v>
      </c>
      <c r="AF362" s="16" t="n">
        <f aca="false">ROUND(S362+T362+U362+V362-W362,2)</f>
        <v>0</v>
      </c>
      <c r="AG362" s="16" t="n">
        <f aca="false">ROUND(X362-W362-Y362,2)</f>
        <v>0</v>
      </c>
    </row>
    <row r="363" customFormat="false" ht="15" hidden="false" customHeight="false" outlineLevel="0" collapsed="false">
      <c r="A363" s="13" t="s">
        <v>217</v>
      </c>
      <c r="B363" s="13" t="s">
        <v>297</v>
      </c>
      <c r="C363" s="13" t="s">
        <v>263</v>
      </c>
      <c r="D363" s="13" t="s">
        <v>261</v>
      </c>
      <c r="E363" s="14" t="n">
        <v>21.7</v>
      </c>
      <c r="F363" s="14" t="n">
        <v>96</v>
      </c>
      <c r="G363" s="14" t="n">
        <v>2.08</v>
      </c>
      <c r="H363" s="14" t="n">
        <v>5</v>
      </c>
      <c r="I363" s="14"/>
      <c r="J363" s="14" t="n">
        <v>57.76</v>
      </c>
      <c r="K363" s="14" t="n">
        <v>169.96</v>
      </c>
      <c r="L363" s="14" t="n">
        <v>1.66</v>
      </c>
      <c r="M363" s="14" t="n">
        <v>21.68</v>
      </c>
      <c r="N363" s="14" t="n">
        <v>5</v>
      </c>
      <c r="O363" s="14" t="n">
        <v>0.59</v>
      </c>
      <c r="P363" s="14" t="n">
        <v>1</v>
      </c>
      <c r="Q363" s="14"/>
      <c r="R363" s="14" t="n">
        <v>1.4</v>
      </c>
      <c r="S363" s="14" t="n">
        <v>201.29</v>
      </c>
      <c r="T363" s="14" t="n">
        <v>0.9</v>
      </c>
      <c r="U363" s="14" t="n">
        <v>13</v>
      </c>
      <c r="V363" s="14" t="n">
        <v>21.65</v>
      </c>
      <c r="W363" s="14" t="n">
        <v>236.84</v>
      </c>
      <c r="X363" s="14" t="n">
        <v>289.86</v>
      </c>
      <c r="Y363" s="14" t="n">
        <v>53.02</v>
      </c>
      <c r="Z363" s="14" t="n">
        <v>0.99</v>
      </c>
      <c r="AA363" s="14" t="n">
        <v>0.06</v>
      </c>
      <c r="AB363" s="14" t="n">
        <v>0</v>
      </c>
      <c r="AC363" s="14" t="n">
        <v>0.06</v>
      </c>
      <c r="AD363" s="15" t="n">
        <f aca="false">H363*E363/1000</f>
        <v>0.1085</v>
      </c>
      <c r="AE363" s="15" t="n">
        <f aca="false">I363*E363/1000</f>
        <v>0</v>
      </c>
      <c r="AF363" s="16" t="n">
        <f aca="false">ROUND(S363+T363+U363+V363-W363,2)</f>
        <v>0</v>
      </c>
      <c r="AG363" s="16" t="n">
        <f aca="false">ROUND(X363-W363-Y363,2)</f>
        <v>0</v>
      </c>
    </row>
    <row r="364" customFormat="false" ht="15" hidden="false" customHeight="false" outlineLevel="0" collapsed="false">
      <c r="A364" s="13" t="s">
        <v>217</v>
      </c>
      <c r="B364" s="13" t="s">
        <v>297</v>
      </c>
      <c r="C364" s="13" t="s">
        <v>263</v>
      </c>
      <c r="D364" s="13" t="s">
        <v>232</v>
      </c>
      <c r="E364" s="14" t="n">
        <v>50.15</v>
      </c>
      <c r="F364" s="14" t="n">
        <v>78</v>
      </c>
      <c r="G364" s="14" t="n">
        <v>3.91</v>
      </c>
      <c r="H364" s="14" t="n">
        <v>14</v>
      </c>
      <c r="I364" s="14" t="n">
        <v>1</v>
      </c>
      <c r="J364" s="14" t="n">
        <v>67.99</v>
      </c>
      <c r="K364" s="14" t="n">
        <v>168.3</v>
      </c>
      <c r="L364" s="14" t="n">
        <v>1.41</v>
      </c>
      <c r="M364" s="14" t="n">
        <v>12.84</v>
      </c>
      <c r="N364" s="14" t="n">
        <v>5</v>
      </c>
      <c r="O364" s="14" t="n">
        <v>0.59</v>
      </c>
      <c r="P364" s="14" t="n">
        <v>1</v>
      </c>
      <c r="Q364" s="14"/>
      <c r="R364" s="14" t="n">
        <v>1.4</v>
      </c>
      <c r="S364" s="14" t="n">
        <v>190.54</v>
      </c>
      <c r="T364" s="14" t="n">
        <v>0.9</v>
      </c>
      <c r="U364" s="14" t="n">
        <v>13</v>
      </c>
      <c r="V364" s="14" t="n">
        <v>19.9</v>
      </c>
      <c r="W364" s="14" t="n">
        <v>224.34</v>
      </c>
      <c r="X364" s="14" t="n">
        <v>289.86</v>
      </c>
      <c r="Y364" s="14" t="n">
        <v>65.52</v>
      </c>
      <c r="Z364" s="14" t="n">
        <v>1.73</v>
      </c>
      <c r="AA364" s="14" t="n">
        <v>0.31</v>
      </c>
      <c r="AB364" s="14" t="n">
        <v>0.03</v>
      </c>
      <c r="AC364" s="14" t="n">
        <v>0.49</v>
      </c>
      <c r="AD364" s="15" t="n">
        <f aca="false">H364*E364/1000</f>
        <v>0.7021</v>
      </c>
      <c r="AE364" s="15" t="n">
        <f aca="false">I364*E364/1000</f>
        <v>0.05015</v>
      </c>
      <c r="AF364" s="16" t="n">
        <f aca="false">ROUND(S364+T364+U364+V364-W364,2)</f>
        <v>0</v>
      </c>
      <c r="AG364" s="16" t="n">
        <f aca="false">ROUND(X364-W364-Y364,2)</f>
        <v>0</v>
      </c>
    </row>
    <row r="365" customFormat="false" ht="15" hidden="false" customHeight="false" outlineLevel="0" collapsed="false">
      <c r="A365" s="13" t="s">
        <v>217</v>
      </c>
      <c r="B365" s="13" t="s">
        <v>297</v>
      </c>
      <c r="C365" s="13" t="s">
        <v>263</v>
      </c>
      <c r="D365" s="13" t="s">
        <v>244</v>
      </c>
      <c r="E365" s="14" t="n">
        <v>37.5</v>
      </c>
      <c r="F365" s="14" t="n">
        <v>6</v>
      </c>
      <c r="G365" s="14" t="n">
        <v>0.23</v>
      </c>
      <c r="H365" s="14" t="n">
        <v>6</v>
      </c>
      <c r="I365" s="14" t="n">
        <v>1</v>
      </c>
      <c r="J365" s="14" t="n">
        <v>62.75</v>
      </c>
      <c r="K365" s="14" t="n">
        <v>169.08</v>
      </c>
      <c r="L365" s="14" t="n">
        <v>1.53</v>
      </c>
      <c r="M365" s="14" t="n">
        <v>13.41</v>
      </c>
      <c r="N365" s="14" t="n">
        <v>5</v>
      </c>
      <c r="O365" s="14" t="n">
        <v>0.59</v>
      </c>
      <c r="P365" s="14" t="n">
        <v>1</v>
      </c>
      <c r="Q365" s="14"/>
      <c r="R365" s="14" t="n">
        <v>1.4</v>
      </c>
      <c r="S365" s="14" t="n">
        <v>192.01</v>
      </c>
      <c r="T365" s="14" t="n">
        <v>0.9</v>
      </c>
      <c r="U365" s="14" t="n">
        <v>13</v>
      </c>
      <c r="V365" s="14" t="n">
        <v>20.72</v>
      </c>
      <c r="W365" s="14" t="n">
        <v>226.63</v>
      </c>
      <c r="X365" s="14" t="n">
        <v>289.86</v>
      </c>
      <c r="Y365" s="14" t="n">
        <v>63.23</v>
      </c>
      <c r="Z365" s="14" t="n">
        <v>-0.15</v>
      </c>
      <c r="AA365" s="14" t="n">
        <v>0.1</v>
      </c>
      <c r="AB365" s="14" t="n">
        <v>0.02</v>
      </c>
      <c r="AC365" s="14" t="n">
        <v>0.17</v>
      </c>
      <c r="AD365" s="15" t="n">
        <f aca="false">H365*E365/1000</f>
        <v>0.225</v>
      </c>
      <c r="AE365" s="15" t="n">
        <f aca="false">I365*E365/1000</f>
        <v>0.0375</v>
      </c>
      <c r="AF365" s="16" t="n">
        <f aca="false">ROUND(S365+T365+U365+V365-W365,2)</f>
        <v>0</v>
      </c>
      <c r="AG365" s="16" t="n">
        <f aca="false">ROUND(X365-W365-Y365,2)</f>
        <v>0</v>
      </c>
    </row>
    <row r="366" customFormat="false" ht="15" hidden="false" customHeight="false" outlineLevel="0" collapsed="false">
      <c r="A366" s="13" t="s">
        <v>217</v>
      </c>
      <c r="B366" s="13" t="s">
        <v>297</v>
      </c>
      <c r="C366" s="13" t="s">
        <v>263</v>
      </c>
      <c r="D366" s="13" t="s">
        <v>298</v>
      </c>
      <c r="E366" s="14" t="n">
        <v>605</v>
      </c>
      <c r="F366" s="14" t="n">
        <v>9</v>
      </c>
      <c r="G366" s="14" t="n">
        <v>5.45</v>
      </c>
      <c r="H366" s="14"/>
      <c r="I366" s="14" t="n">
        <v>5</v>
      </c>
      <c r="J366" s="14" t="n">
        <v>67.02</v>
      </c>
      <c r="K366" s="14" t="n">
        <v>168.44</v>
      </c>
      <c r="L366" s="14" t="n">
        <v>1.43</v>
      </c>
      <c r="M366" s="14" t="n">
        <v>11.03</v>
      </c>
      <c r="N366" s="14" t="n">
        <v>5</v>
      </c>
      <c r="O366" s="14"/>
      <c r="P366" s="14" t="n">
        <v>1</v>
      </c>
      <c r="Q366" s="14"/>
      <c r="R366" s="14" t="n">
        <v>0.77</v>
      </c>
      <c r="S366" s="14" t="n">
        <v>187.67</v>
      </c>
      <c r="T366" s="14" t="n">
        <v>0.9</v>
      </c>
      <c r="U366" s="14" t="n">
        <v>13</v>
      </c>
      <c r="V366" s="14" t="n">
        <v>20.04</v>
      </c>
      <c r="W366" s="14" t="n">
        <v>221.61</v>
      </c>
      <c r="X366" s="14" t="n">
        <v>289.86</v>
      </c>
      <c r="Y366" s="14" t="n">
        <v>68.25</v>
      </c>
      <c r="Z366" s="14" t="n">
        <v>-0.19</v>
      </c>
      <c r="AA366" s="14" t="n">
        <v>0</v>
      </c>
      <c r="AB366" s="14" t="n">
        <v>1.84</v>
      </c>
      <c r="AC366" s="14" t="n">
        <v>2.06</v>
      </c>
      <c r="AD366" s="15" t="n">
        <f aca="false">H366*E366/1000</f>
        <v>0</v>
      </c>
      <c r="AE366" s="15" t="n">
        <f aca="false">I366*E366/1000</f>
        <v>3.025</v>
      </c>
      <c r="AF366" s="16" t="n">
        <f aca="false">ROUND(S366+T366+U366+V366-W366,2)</f>
        <v>0</v>
      </c>
      <c r="AG366" s="16" t="n">
        <f aca="false">ROUND(X366-W366-Y366,2)</f>
        <v>0</v>
      </c>
    </row>
    <row r="367" customFormat="false" ht="15" hidden="false" customHeight="false" outlineLevel="0" collapsed="false">
      <c r="A367" s="13" t="s">
        <v>217</v>
      </c>
      <c r="B367" s="13" t="s">
        <v>297</v>
      </c>
      <c r="C367" s="13" t="s">
        <v>263</v>
      </c>
      <c r="D367" s="13" t="s">
        <v>299</v>
      </c>
      <c r="E367" s="14" t="n">
        <v>595</v>
      </c>
      <c r="F367" s="14" t="n">
        <v>6</v>
      </c>
      <c r="G367" s="14" t="n">
        <v>3.57</v>
      </c>
      <c r="H367" s="14"/>
      <c r="I367" s="14"/>
      <c r="J367" s="14" t="n">
        <v>67.83</v>
      </c>
      <c r="K367" s="14" t="n">
        <v>168.32</v>
      </c>
      <c r="L367" s="14" t="n">
        <v>1.42</v>
      </c>
      <c r="M367" s="14" t="n">
        <v>11.16</v>
      </c>
      <c r="N367" s="14" t="n">
        <v>5</v>
      </c>
      <c r="O367" s="14"/>
      <c r="P367" s="14" t="n">
        <v>1</v>
      </c>
      <c r="Q367" s="14"/>
      <c r="R367" s="14" t="n">
        <v>0.85</v>
      </c>
      <c r="S367" s="14" t="n">
        <v>187.74</v>
      </c>
      <c r="T367" s="14" t="n">
        <v>0.9</v>
      </c>
      <c r="U367" s="14" t="n">
        <v>13</v>
      </c>
      <c r="V367" s="14" t="n">
        <v>19.92</v>
      </c>
      <c r="W367" s="14" t="n">
        <v>221.56</v>
      </c>
      <c r="X367" s="14" t="n">
        <v>289.86</v>
      </c>
      <c r="Y367" s="14" t="n">
        <v>68.3</v>
      </c>
      <c r="Z367" s="14" t="n">
        <v>2.44</v>
      </c>
      <c r="AA367" s="14" t="n">
        <v>0</v>
      </c>
      <c r="AB367" s="14" t="n">
        <v>0</v>
      </c>
      <c r="AC367" s="14" t="n">
        <v>0</v>
      </c>
      <c r="AD367" s="15" t="n">
        <f aca="false">H367*E367/1000</f>
        <v>0</v>
      </c>
      <c r="AE367" s="15" t="n">
        <f aca="false">I367*E367/1000</f>
        <v>0</v>
      </c>
      <c r="AF367" s="16" t="n">
        <f aca="false">ROUND(S367+T367+U367+V367-W367,2)</f>
        <v>0</v>
      </c>
      <c r="AG367" s="16" t="n">
        <f aca="false">ROUND(X367-W367-Y367,2)</f>
        <v>0</v>
      </c>
    </row>
    <row r="368" customFormat="false" ht="15" hidden="false" customHeight="false" outlineLevel="0" collapsed="false">
      <c r="A368" s="13" t="s">
        <v>217</v>
      </c>
      <c r="B368" s="13" t="s">
        <v>297</v>
      </c>
      <c r="C368" s="13" t="s">
        <v>229</v>
      </c>
      <c r="D368" s="13" t="s">
        <v>231</v>
      </c>
      <c r="E368" s="14" t="n">
        <v>26.5</v>
      </c>
      <c r="F368" s="14" t="n">
        <v>168</v>
      </c>
      <c r="G368" s="14" t="n">
        <v>4.45</v>
      </c>
      <c r="H368" s="14" t="n">
        <v>25</v>
      </c>
      <c r="I368" s="14" t="n">
        <v>1</v>
      </c>
      <c r="J368" s="14" t="n">
        <v>60.42</v>
      </c>
      <c r="K368" s="14" t="n">
        <v>168.03</v>
      </c>
      <c r="L368" s="14" t="n">
        <v>1.74</v>
      </c>
      <c r="M368" s="14" t="n">
        <v>16.83</v>
      </c>
      <c r="N368" s="14" t="n">
        <v>5</v>
      </c>
      <c r="O368" s="14" t="n">
        <v>0.59</v>
      </c>
      <c r="P368" s="14" t="n">
        <v>1</v>
      </c>
      <c r="Q368" s="14"/>
      <c r="R368" s="14" t="n">
        <v>1.4</v>
      </c>
      <c r="S368" s="14" t="n">
        <v>194.59</v>
      </c>
      <c r="T368" s="14" t="n">
        <v>0.9</v>
      </c>
      <c r="U368" s="14" t="n">
        <v>13</v>
      </c>
      <c r="V368" s="14" t="n">
        <v>21.14</v>
      </c>
      <c r="W368" s="14" t="n">
        <v>229.62</v>
      </c>
      <c r="X368" s="14" t="n">
        <v>294.4</v>
      </c>
      <c r="Y368" s="14" t="n">
        <v>64.78</v>
      </c>
      <c r="Z368" s="14" t="n">
        <v>2.09</v>
      </c>
      <c r="AA368" s="14" t="n">
        <v>0.33</v>
      </c>
      <c r="AB368" s="14" t="n">
        <v>0.02</v>
      </c>
      <c r="AC368" s="14" t="n">
        <v>0.45</v>
      </c>
      <c r="AD368" s="15" t="n">
        <f aca="false">H368*E368/1000</f>
        <v>0.6625</v>
      </c>
      <c r="AE368" s="15" t="n">
        <f aca="false">I368*E368/1000</f>
        <v>0.0265</v>
      </c>
      <c r="AF368" s="16" t="n">
        <f aca="false">ROUND(S368+T368+U368+V368-W368,2)</f>
        <v>0.01</v>
      </c>
      <c r="AG368" s="16" t="n">
        <f aca="false">ROUND(X368-W368-Y368,2)</f>
        <v>0</v>
      </c>
    </row>
    <row r="369" customFormat="false" ht="15" hidden="false" customHeight="false" outlineLevel="0" collapsed="false">
      <c r="A369" s="13" t="s">
        <v>217</v>
      </c>
      <c r="B369" s="13" t="s">
        <v>297</v>
      </c>
      <c r="C369" s="13" t="s">
        <v>229</v>
      </c>
      <c r="D369" s="13" t="s">
        <v>230</v>
      </c>
      <c r="E369" s="14" t="n">
        <v>34.5</v>
      </c>
      <c r="F369" s="14" t="n">
        <v>378</v>
      </c>
      <c r="G369" s="14" t="n">
        <v>13.04</v>
      </c>
      <c r="H369" s="14" t="n">
        <v>66</v>
      </c>
      <c r="I369" s="14" t="n">
        <v>3</v>
      </c>
      <c r="J369" s="14" t="n">
        <v>61.31</v>
      </c>
      <c r="K369" s="14" t="n">
        <v>167.88</v>
      </c>
      <c r="L369" s="14" t="n">
        <v>1.71</v>
      </c>
      <c r="M369" s="14" t="n">
        <v>14.95</v>
      </c>
      <c r="N369" s="14" t="n">
        <v>5</v>
      </c>
      <c r="O369" s="14" t="n">
        <v>0.59</v>
      </c>
      <c r="P369" s="14" t="n">
        <v>1</v>
      </c>
      <c r="Q369" s="14"/>
      <c r="R369" s="14" t="n">
        <v>1.4</v>
      </c>
      <c r="S369" s="14" t="n">
        <v>192.53</v>
      </c>
      <c r="T369" s="14" t="n">
        <v>0.9</v>
      </c>
      <c r="U369" s="14" t="n">
        <v>13</v>
      </c>
      <c r="V369" s="14" t="n">
        <v>20.97</v>
      </c>
      <c r="W369" s="14" t="n">
        <v>227.41</v>
      </c>
      <c r="X369" s="14" t="n">
        <v>294.4</v>
      </c>
      <c r="Y369" s="14" t="n">
        <v>66.99</v>
      </c>
      <c r="Z369" s="14" t="n">
        <v>5.98</v>
      </c>
      <c r="AA369" s="14" t="n">
        <v>1.09</v>
      </c>
      <c r="AB369" s="14" t="n">
        <v>0.07</v>
      </c>
      <c r="AC369" s="14" t="n">
        <v>1.59</v>
      </c>
      <c r="AD369" s="15" t="n">
        <f aca="false">H369*E369/1000</f>
        <v>2.277</v>
      </c>
      <c r="AE369" s="15" t="n">
        <f aca="false">I369*E369/1000</f>
        <v>0.1035</v>
      </c>
      <c r="AF369" s="16" t="n">
        <f aca="false">ROUND(S369+T369+U369+V369-W369,2)</f>
        <v>-0.01</v>
      </c>
      <c r="AG369" s="16" t="n">
        <f aca="false">ROUND(X369-W369-Y369,2)</f>
        <v>0</v>
      </c>
    </row>
    <row r="370" customFormat="false" ht="15" hidden="false" customHeight="false" outlineLevel="0" collapsed="false">
      <c r="A370" s="13" t="s">
        <v>217</v>
      </c>
      <c r="B370" s="13" t="s">
        <v>297</v>
      </c>
      <c r="C370" s="13" t="s">
        <v>229</v>
      </c>
      <c r="D370" s="13" t="s">
        <v>236</v>
      </c>
      <c r="E370" s="14" t="n">
        <v>32.5</v>
      </c>
      <c r="F370" s="14" t="n">
        <v>8</v>
      </c>
      <c r="G370" s="14" t="n">
        <v>0.26</v>
      </c>
      <c r="H370" s="14" t="n">
        <v>1</v>
      </c>
      <c r="I370" s="14" t="n">
        <v>1</v>
      </c>
      <c r="J370" s="14" t="n">
        <v>62.63</v>
      </c>
      <c r="K370" s="14" t="n">
        <v>167.67</v>
      </c>
      <c r="L370" s="14" t="n">
        <v>1.68</v>
      </c>
      <c r="M370" s="14" t="n">
        <v>14.95</v>
      </c>
      <c r="N370" s="14" t="n">
        <v>5</v>
      </c>
      <c r="O370" s="14" t="n">
        <v>0.59</v>
      </c>
      <c r="P370" s="14" t="n">
        <v>1</v>
      </c>
      <c r="Q370" s="14"/>
      <c r="R370" s="14" t="n">
        <v>1.4</v>
      </c>
      <c r="S370" s="14" t="n">
        <v>192.28</v>
      </c>
      <c r="T370" s="14" t="n">
        <v>0.9</v>
      </c>
      <c r="U370" s="14" t="n">
        <v>13</v>
      </c>
      <c r="V370" s="14" t="n">
        <v>20.74</v>
      </c>
      <c r="W370" s="14" t="n">
        <v>226.92</v>
      </c>
      <c r="X370" s="14" t="n">
        <v>294.4</v>
      </c>
      <c r="Y370" s="14" t="n">
        <v>67.48</v>
      </c>
      <c r="Z370" s="14" t="n">
        <v>0.09</v>
      </c>
      <c r="AA370" s="14" t="n">
        <v>0.02</v>
      </c>
      <c r="AB370" s="14" t="n">
        <v>0.02</v>
      </c>
      <c r="AC370" s="14" t="n">
        <v>0.04</v>
      </c>
      <c r="AD370" s="15" t="n">
        <f aca="false">H370*E370/1000</f>
        <v>0.0325</v>
      </c>
      <c r="AE370" s="15" t="n">
        <f aca="false">I370*E370/1000</f>
        <v>0.0325</v>
      </c>
      <c r="AF370" s="16" t="n">
        <f aca="false">ROUND(S370+T370+U370+V370-W370,2)</f>
        <v>0</v>
      </c>
      <c r="AG370" s="16" t="n">
        <f aca="false">ROUND(X370-W370-Y370,2)</f>
        <v>0</v>
      </c>
    </row>
    <row r="371" customFormat="false" ht="15" hidden="false" customHeight="false" outlineLevel="0" collapsed="false">
      <c r="A371" s="13" t="s">
        <v>217</v>
      </c>
      <c r="B371" s="13" t="s">
        <v>297</v>
      </c>
      <c r="C371" s="13" t="s">
        <v>229</v>
      </c>
      <c r="D371" s="13" t="s">
        <v>286</v>
      </c>
      <c r="E371" s="14" t="n">
        <v>43.51</v>
      </c>
      <c r="F371" s="14" t="n">
        <v>132</v>
      </c>
      <c r="G371" s="14" t="n">
        <v>5.74</v>
      </c>
      <c r="H371" s="14"/>
      <c r="I371" s="14"/>
      <c r="J371" s="14" t="n">
        <v>58.14</v>
      </c>
      <c r="K371" s="14" t="n">
        <v>168.44</v>
      </c>
      <c r="L371" s="14" t="n">
        <v>1.81</v>
      </c>
      <c r="M371" s="14" t="n">
        <v>17.07</v>
      </c>
      <c r="N371" s="14" t="n">
        <v>7</v>
      </c>
      <c r="O371" s="14" t="n">
        <v>0.59</v>
      </c>
      <c r="P371" s="14" t="n">
        <v>1</v>
      </c>
      <c r="Q371" s="14"/>
      <c r="R371" s="14" t="n">
        <v>1.1</v>
      </c>
      <c r="S371" s="14" t="n">
        <v>197.01</v>
      </c>
      <c r="T371" s="14" t="n">
        <v>0.9</v>
      </c>
      <c r="U371" s="14" t="n">
        <v>13</v>
      </c>
      <c r="V371" s="14" t="n">
        <v>21.57</v>
      </c>
      <c r="W371" s="14" t="n">
        <v>232.48</v>
      </c>
      <c r="X371" s="14" t="n">
        <v>294.4</v>
      </c>
      <c r="Y371" s="14" t="n">
        <v>61.92</v>
      </c>
      <c r="Z371" s="14" t="n">
        <v>3.56</v>
      </c>
      <c r="AA371" s="14" t="n">
        <v>0</v>
      </c>
      <c r="AB371" s="14" t="n">
        <v>0</v>
      </c>
      <c r="AC371" s="14" t="n">
        <v>0</v>
      </c>
      <c r="AD371" s="15" t="n">
        <f aca="false">H371*E371/1000</f>
        <v>0</v>
      </c>
      <c r="AE371" s="15" t="n">
        <f aca="false">I371*E371/1000</f>
        <v>0</v>
      </c>
      <c r="AF371" s="16" t="n">
        <f aca="false">ROUND(S371+T371+U371+V371-W371,2)</f>
        <v>0</v>
      </c>
      <c r="AG371" s="16" t="n">
        <f aca="false">ROUND(X371-W371-Y371,2)</f>
        <v>0</v>
      </c>
    </row>
    <row r="372" customFormat="false" ht="15" hidden="false" customHeight="false" outlineLevel="0" collapsed="false">
      <c r="A372" s="13" t="s">
        <v>217</v>
      </c>
      <c r="B372" s="13" t="s">
        <v>297</v>
      </c>
      <c r="C372" s="13" t="s">
        <v>229</v>
      </c>
      <c r="D372" s="13" t="s">
        <v>233</v>
      </c>
      <c r="E372" s="14" t="n">
        <v>22.5</v>
      </c>
      <c r="F372" s="14" t="n">
        <v>138</v>
      </c>
      <c r="G372" s="14" t="n">
        <v>3.11</v>
      </c>
      <c r="H372" s="14"/>
      <c r="I372" s="14"/>
      <c r="J372" s="14" t="n">
        <v>57.3</v>
      </c>
      <c r="K372" s="14" t="n">
        <v>168.6</v>
      </c>
      <c r="L372" s="14" t="n">
        <v>1.83</v>
      </c>
      <c r="M372" s="14" t="n">
        <v>19.01</v>
      </c>
      <c r="N372" s="14" t="n">
        <v>4.93</v>
      </c>
      <c r="O372" s="14" t="n">
        <v>0.59</v>
      </c>
      <c r="P372" s="14" t="n">
        <v>1</v>
      </c>
      <c r="Q372" s="14"/>
      <c r="R372" s="14" t="n">
        <v>1.1</v>
      </c>
      <c r="S372" s="14" t="n">
        <v>197.06</v>
      </c>
      <c r="T372" s="14" t="n">
        <v>0.9</v>
      </c>
      <c r="U372" s="14" t="n">
        <v>13</v>
      </c>
      <c r="V372" s="14" t="n">
        <v>21.74</v>
      </c>
      <c r="W372" s="14" t="n">
        <v>232.7</v>
      </c>
      <c r="X372" s="14" t="n">
        <v>294.4</v>
      </c>
      <c r="Y372" s="14" t="n">
        <v>61.7</v>
      </c>
      <c r="Z372" s="14" t="n">
        <v>1.92</v>
      </c>
      <c r="AA372" s="14" t="n">
        <v>0</v>
      </c>
      <c r="AB372" s="14" t="n">
        <v>0</v>
      </c>
      <c r="AC372" s="14" t="n">
        <v>0</v>
      </c>
      <c r="AD372" s="15" t="n">
        <f aca="false">H372*E372/1000</f>
        <v>0</v>
      </c>
      <c r="AE372" s="15" t="n">
        <f aca="false">I372*E372/1000</f>
        <v>0</v>
      </c>
      <c r="AF372" s="16" t="n">
        <f aca="false">ROUND(S372+T372+U372+V372-W372,2)</f>
        <v>0</v>
      </c>
      <c r="AG372" s="16" t="n">
        <f aca="false">ROUND(X372-W372-Y372,2)</f>
        <v>0</v>
      </c>
    </row>
    <row r="373" customFormat="false" ht="15" hidden="false" customHeight="false" outlineLevel="0" collapsed="false">
      <c r="A373" s="13" t="s">
        <v>217</v>
      </c>
      <c r="B373" s="13" t="s">
        <v>297</v>
      </c>
      <c r="C373" s="13" t="s">
        <v>229</v>
      </c>
      <c r="D373" s="13" t="s">
        <v>287</v>
      </c>
      <c r="E373" s="14" t="n">
        <v>48</v>
      </c>
      <c r="F373" s="14" t="n">
        <v>39</v>
      </c>
      <c r="G373" s="14" t="n">
        <v>1.87</v>
      </c>
      <c r="H373" s="14"/>
      <c r="I373" s="14"/>
      <c r="J373" s="14" t="n">
        <v>65.06</v>
      </c>
      <c r="K373" s="14" t="n">
        <v>167.29</v>
      </c>
      <c r="L373" s="14" t="n">
        <v>1.61</v>
      </c>
      <c r="M373" s="14" t="n">
        <v>20.9</v>
      </c>
      <c r="N373" s="14" t="n">
        <v>7</v>
      </c>
      <c r="O373" s="14" t="n">
        <v>0.59</v>
      </c>
      <c r="P373" s="14" t="n">
        <v>1</v>
      </c>
      <c r="Q373" s="14"/>
      <c r="R373" s="14" t="n">
        <v>1.1</v>
      </c>
      <c r="S373" s="14" t="n">
        <v>199.49</v>
      </c>
      <c r="T373" s="14" t="n">
        <v>0.9</v>
      </c>
      <c r="U373" s="14" t="n">
        <v>13</v>
      </c>
      <c r="V373" s="14" t="n">
        <v>20.34</v>
      </c>
      <c r="W373" s="14" t="n">
        <v>233.73</v>
      </c>
      <c r="X373" s="14" t="n">
        <v>294.4</v>
      </c>
      <c r="Y373" s="14" t="n">
        <v>60.67</v>
      </c>
      <c r="Z373" s="14" t="n">
        <v>1.14</v>
      </c>
      <c r="AA373" s="14" t="n">
        <v>0</v>
      </c>
      <c r="AB373" s="14" t="n">
        <v>0</v>
      </c>
      <c r="AC373" s="14" t="n">
        <v>0</v>
      </c>
      <c r="AD373" s="15" t="n">
        <f aca="false">H373*E373/1000</f>
        <v>0</v>
      </c>
      <c r="AE373" s="15" t="n">
        <f aca="false">I373*E373/1000</f>
        <v>0</v>
      </c>
      <c r="AF373" s="16" t="n">
        <f aca="false">ROUND(S373+T373+U373+V373-W373,2)</f>
        <v>0</v>
      </c>
      <c r="AG373" s="16" t="n">
        <f aca="false">ROUND(X373-W373-Y373,2)</f>
        <v>0</v>
      </c>
    </row>
    <row r="374" customFormat="false" ht="15" hidden="false" customHeight="false" outlineLevel="0" collapsed="false">
      <c r="A374" s="13" t="s">
        <v>217</v>
      </c>
      <c r="B374" s="13" t="s">
        <v>297</v>
      </c>
      <c r="C374" s="13" t="s">
        <v>229</v>
      </c>
      <c r="D374" s="13" t="s">
        <v>224</v>
      </c>
      <c r="E374" s="14" t="n">
        <v>39.5</v>
      </c>
      <c r="F374" s="14" t="n">
        <v>88</v>
      </c>
      <c r="G374" s="14" t="n">
        <v>3.48</v>
      </c>
      <c r="H374" s="14"/>
      <c r="I374" s="14"/>
      <c r="J374" s="14" t="n">
        <v>58.02</v>
      </c>
      <c r="K374" s="14" t="n">
        <v>168.47</v>
      </c>
      <c r="L374" s="14" t="n">
        <v>1.81</v>
      </c>
      <c r="M374" s="14" t="n">
        <v>14.11</v>
      </c>
      <c r="N374" s="14" t="n">
        <v>4</v>
      </c>
      <c r="O374" s="14" t="n">
        <v>0.59</v>
      </c>
      <c r="P374" s="14" t="n">
        <v>1</v>
      </c>
      <c r="Q374" s="14"/>
      <c r="R374" s="14" t="n">
        <v>1.4</v>
      </c>
      <c r="S374" s="14" t="n">
        <v>191.37</v>
      </c>
      <c r="T374" s="14" t="n">
        <v>0.9</v>
      </c>
      <c r="U374" s="14" t="n">
        <v>13</v>
      </c>
      <c r="V374" s="14" t="n">
        <v>21.6</v>
      </c>
      <c r="W374" s="14" t="n">
        <v>226.87</v>
      </c>
      <c r="X374" s="14" t="n">
        <v>294.4</v>
      </c>
      <c r="Y374" s="14" t="n">
        <v>67.53</v>
      </c>
      <c r="Z374" s="14" t="n">
        <v>2.35</v>
      </c>
      <c r="AA374" s="14" t="n">
        <v>0</v>
      </c>
      <c r="AB374" s="14" t="n">
        <v>0</v>
      </c>
      <c r="AC374" s="14" t="n">
        <v>0</v>
      </c>
      <c r="AD374" s="15" t="n">
        <f aca="false">H374*E374/1000</f>
        <v>0</v>
      </c>
      <c r="AE374" s="15" t="n">
        <f aca="false">I374*E374/1000</f>
        <v>0</v>
      </c>
      <c r="AF374" s="16" t="n">
        <f aca="false">ROUND(S374+T374+U374+V374-W374,2)</f>
        <v>0</v>
      </c>
      <c r="AG374" s="16" t="n">
        <f aca="false">ROUND(X374-W374-Y374,2)</f>
        <v>0</v>
      </c>
    </row>
    <row r="375" customFormat="false" ht="15" hidden="false" customHeight="false" outlineLevel="0" collapsed="false">
      <c r="A375" s="13" t="s">
        <v>217</v>
      </c>
      <c r="B375" s="13" t="s">
        <v>297</v>
      </c>
      <c r="C375" s="13" t="s">
        <v>229</v>
      </c>
      <c r="D375" s="13" t="s">
        <v>288</v>
      </c>
      <c r="E375" s="14" t="n">
        <v>27.9</v>
      </c>
      <c r="F375" s="14" t="n">
        <v>150</v>
      </c>
      <c r="G375" s="14" t="n">
        <v>4.19</v>
      </c>
      <c r="H375" s="14"/>
      <c r="I375" s="14"/>
      <c r="J375" s="14" t="n">
        <v>61.01</v>
      </c>
      <c r="K375" s="14" t="n">
        <v>167.93</v>
      </c>
      <c r="L375" s="14" t="n">
        <v>1.72</v>
      </c>
      <c r="M375" s="14" t="n">
        <v>16.21</v>
      </c>
      <c r="N375" s="14" t="n">
        <v>7</v>
      </c>
      <c r="O375" s="14" t="n">
        <v>0.59</v>
      </c>
      <c r="P375" s="14" t="n">
        <v>1</v>
      </c>
      <c r="Q375" s="14"/>
      <c r="R375" s="14" t="n">
        <v>1.1</v>
      </c>
      <c r="S375" s="14" t="n">
        <v>195.55</v>
      </c>
      <c r="T375" s="14" t="n">
        <v>0.9</v>
      </c>
      <c r="U375" s="14" t="n">
        <v>13</v>
      </c>
      <c r="V375" s="14" t="n">
        <v>21.03</v>
      </c>
      <c r="W375" s="14" t="n">
        <v>230.48</v>
      </c>
      <c r="X375" s="14" t="n">
        <v>294.4</v>
      </c>
      <c r="Y375" s="14" t="n">
        <v>63.92</v>
      </c>
      <c r="Z375" s="14" t="n">
        <v>2.68</v>
      </c>
      <c r="AA375" s="14" t="n">
        <v>0</v>
      </c>
      <c r="AB375" s="14" t="n">
        <v>0</v>
      </c>
      <c r="AC375" s="14" t="n">
        <v>0</v>
      </c>
      <c r="AD375" s="15" t="n">
        <f aca="false">H375*E375/1000</f>
        <v>0</v>
      </c>
      <c r="AE375" s="15" t="n">
        <f aca="false">I375*E375/1000</f>
        <v>0</v>
      </c>
      <c r="AF375" s="16" t="n">
        <f aca="false">ROUND(S375+T375+U375+V375-W375,2)</f>
        <v>0</v>
      </c>
      <c r="AG375" s="16" t="n">
        <f aca="false">ROUND(X375-W375-Y375,2)</f>
        <v>0</v>
      </c>
    </row>
    <row r="376" customFormat="false" ht="15" hidden="false" customHeight="false" outlineLevel="0" collapsed="false">
      <c r="A376" s="13" t="s">
        <v>217</v>
      </c>
      <c r="B376" s="13" t="s">
        <v>297</v>
      </c>
      <c r="C376" s="13" t="s">
        <v>229</v>
      </c>
      <c r="D376" s="13" t="s">
        <v>298</v>
      </c>
      <c r="E376" s="14" t="n">
        <v>605</v>
      </c>
      <c r="F376" s="14" t="n">
        <v>3</v>
      </c>
      <c r="G376" s="14" t="n">
        <v>1.82</v>
      </c>
      <c r="H376" s="14" t="n">
        <v>5</v>
      </c>
      <c r="I376" s="14" t="n">
        <v>1</v>
      </c>
      <c r="J376" s="14" t="n">
        <v>67.02</v>
      </c>
      <c r="K376" s="14" t="n">
        <v>167.01</v>
      </c>
      <c r="L376" s="14" t="n">
        <v>1.57</v>
      </c>
      <c r="M376" s="14" t="n">
        <v>10.06</v>
      </c>
      <c r="N376" s="14" t="n">
        <v>5</v>
      </c>
      <c r="O376" s="14"/>
      <c r="P376" s="14" t="n">
        <v>1</v>
      </c>
      <c r="Q376" s="14"/>
      <c r="R376" s="14" t="n">
        <v>0.77</v>
      </c>
      <c r="S376" s="14" t="n">
        <v>185.4</v>
      </c>
      <c r="T376" s="14" t="n">
        <v>0.9</v>
      </c>
      <c r="U376" s="14" t="n">
        <v>13</v>
      </c>
      <c r="V376" s="14" t="n">
        <v>20.04</v>
      </c>
      <c r="W376" s="14" t="n">
        <v>219.34</v>
      </c>
      <c r="X376" s="14" t="n">
        <v>289.86</v>
      </c>
      <c r="Y376" s="14" t="n">
        <v>70.52</v>
      </c>
      <c r="Z376" s="14" t="n">
        <v>-2.89</v>
      </c>
      <c r="AA376" s="14" t="n">
        <v>1.25</v>
      </c>
      <c r="AB376" s="14" t="n">
        <v>0.36</v>
      </c>
      <c r="AC376" s="14" t="n">
        <v>2.56</v>
      </c>
      <c r="AD376" s="15" t="n">
        <f aca="false">H376*E376/1000</f>
        <v>3.025</v>
      </c>
      <c r="AE376" s="15" t="n">
        <f aca="false">I376*E376/1000</f>
        <v>0.605</v>
      </c>
      <c r="AF376" s="16" t="n">
        <f aca="false">ROUND(S376+T376+U376+V376-W376,2)</f>
        <v>0</v>
      </c>
      <c r="AG376" s="16" t="n">
        <f aca="false">ROUND(X376-W376-Y376,2)</f>
        <v>0</v>
      </c>
    </row>
    <row r="377" customFormat="false" ht="15" hidden="false" customHeight="false" outlineLevel="0" collapsed="false">
      <c r="A377" s="13" t="s">
        <v>217</v>
      </c>
      <c r="B377" s="13" t="s">
        <v>297</v>
      </c>
      <c r="C377" s="13" t="s">
        <v>229</v>
      </c>
      <c r="D377" s="13" t="s">
        <v>299</v>
      </c>
      <c r="E377" s="14" t="n">
        <v>595</v>
      </c>
      <c r="F377" s="14" t="n">
        <v>1</v>
      </c>
      <c r="G377" s="14" t="n">
        <v>0.6</v>
      </c>
      <c r="H377" s="14" t="n">
        <v>3</v>
      </c>
      <c r="I377" s="14" t="n">
        <v>1</v>
      </c>
      <c r="J377" s="14" t="n">
        <v>67.83</v>
      </c>
      <c r="K377" s="14" t="n">
        <v>166.89</v>
      </c>
      <c r="L377" s="14" t="n">
        <v>1.55</v>
      </c>
      <c r="M377" s="14" t="n">
        <v>10.17</v>
      </c>
      <c r="N377" s="14" t="n">
        <v>5</v>
      </c>
      <c r="O377" s="14"/>
      <c r="P377" s="14" t="n">
        <v>1</v>
      </c>
      <c r="Q377" s="14"/>
      <c r="R377" s="14" t="n">
        <v>0.85</v>
      </c>
      <c r="S377" s="14" t="n">
        <v>185.46</v>
      </c>
      <c r="T377" s="14" t="n">
        <v>0.9</v>
      </c>
      <c r="U377" s="14" t="n">
        <v>13</v>
      </c>
      <c r="V377" s="14" t="n">
        <v>19.92</v>
      </c>
      <c r="W377" s="14" t="n">
        <v>219.28</v>
      </c>
      <c r="X377" s="14" t="n">
        <v>289.86</v>
      </c>
      <c r="Y377" s="14" t="n">
        <v>70.58</v>
      </c>
      <c r="Z377" s="14" t="n">
        <v>-2.35</v>
      </c>
      <c r="AA377" s="14" t="n">
        <v>0.73</v>
      </c>
      <c r="AB377" s="14" t="n">
        <v>0.36</v>
      </c>
      <c r="AC377" s="14" t="n">
        <v>1.68</v>
      </c>
      <c r="AD377" s="15" t="n">
        <f aca="false">H377*E377/1000</f>
        <v>1.785</v>
      </c>
      <c r="AE377" s="15" t="n">
        <f aca="false">I377*E377/1000</f>
        <v>0.595</v>
      </c>
      <c r="AF377" s="16" t="n">
        <f aca="false">ROUND(S377+T377+U377+V377-W377,2)</f>
        <v>0</v>
      </c>
      <c r="AG377" s="16" t="n">
        <f aca="false">ROUND(X377-W377-Y377,2)</f>
        <v>0</v>
      </c>
    </row>
    <row r="378" customFormat="false" ht="15" hidden="false" customHeight="false" outlineLevel="0" collapsed="false">
      <c r="A378" s="13" t="s">
        <v>217</v>
      </c>
      <c r="B378" s="13" t="s">
        <v>297</v>
      </c>
      <c r="C378" s="13" t="s">
        <v>234</v>
      </c>
      <c r="D378" s="13" t="s">
        <v>220</v>
      </c>
      <c r="E378" s="14" t="n">
        <v>18.75</v>
      </c>
      <c r="F378" s="14" t="n">
        <v>8</v>
      </c>
      <c r="G378" s="14" t="n">
        <v>0.15</v>
      </c>
      <c r="H378" s="14" t="n">
        <v>0</v>
      </c>
      <c r="I378" s="14" t="n">
        <v>1</v>
      </c>
      <c r="J378" s="14" t="n">
        <v>57.67</v>
      </c>
      <c r="K378" s="14" t="n">
        <v>171.33</v>
      </c>
      <c r="L378" s="14" t="n">
        <v>1.82</v>
      </c>
      <c r="M378" s="14" t="n">
        <v>17.67</v>
      </c>
      <c r="N378" s="14" t="n">
        <v>4</v>
      </c>
      <c r="O378" s="14" t="n">
        <v>0.59</v>
      </c>
      <c r="P378" s="14" t="n">
        <v>1.5</v>
      </c>
      <c r="Q378" s="14"/>
      <c r="R378" s="14" t="n">
        <v>1.4</v>
      </c>
      <c r="S378" s="14" t="n">
        <v>198.31</v>
      </c>
      <c r="T378" s="14" t="n">
        <v>0.9</v>
      </c>
      <c r="U378" s="14" t="n">
        <v>13</v>
      </c>
      <c r="V378" s="14" t="n">
        <v>21.67</v>
      </c>
      <c r="W378" s="14" t="n">
        <v>233.87</v>
      </c>
      <c r="X378" s="14" t="n">
        <v>294.4</v>
      </c>
      <c r="Y378" s="14" t="n">
        <v>60.53</v>
      </c>
      <c r="Z378" s="14" t="n">
        <v>0.07</v>
      </c>
      <c r="AA378" s="14" t="n">
        <v>0</v>
      </c>
      <c r="AB378" s="14" t="n">
        <v>0.01</v>
      </c>
      <c r="AC378" s="14" t="n">
        <v>0.01</v>
      </c>
      <c r="AD378" s="15" t="n">
        <f aca="false">H378*E378/1000</f>
        <v>0</v>
      </c>
      <c r="AE378" s="15" t="n">
        <f aca="false">I378*E378/1000</f>
        <v>0.01875</v>
      </c>
      <c r="AF378" s="16" t="n">
        <f aca="false">ROUND(S378+T378+U378+V378-W378,2)</f>
        <v>0.01</v>
      </c>
      <c r="AG378" s="16" t="n">
        <f aca="false">ROUND(X378-W378-Y378,2)</f>
        <v>0</v>
      </c>
    </row>
    <row r="379" customFormat="false" ht="15" hidden="false" customHeight="false" outlineLevel="0" collapsed="false">
      <c r="A379" s="13" t="s">
        <v>217</v>
      </c>
      <c r="B379" s="13" t="s">
        <v>297</v>
      </c>
      <c r="C379" s="13" t="s">
        <v>234</v>
      </c>
      <c r="D379" s="13" t="s">
        <v>221</v>
      </c>
      <c r="E379" s="14" t="n">
        <v>25</v>
      </c>
      <c r="F379" s="14" t="n">
        <v>120</v>
      </c>
      <c r="G379" s="14" t="n">
        <v>3</v>
      </c>
      <c r="H379" s="14" t="n">
        <v>1</v>
      </c>
      <c r="I379" s="14"/>
      <c r="J379" s="14" t="n">
        <v>62.58</v>
      </c>
      <c r="K379" s="14" t="n">
        <v>170.46</v>
      </c>
      <c r="L379" s="14" t="n">
        <v>1.68</v>
      </c>
      <c r="M379" s="14" t="n">
        <v>15.32</v>
      </c>
      <c r="N379" s="14" t="n">
        <v>4</v>
      </c>
      <c r="O379" s="14" t="n">
        <v>0.59</v>
      </c>
      <c r="P379" s="14" t="n">
        <v>1.5</v>
      </c>
      <c r="Q379" s="14"/>
      <c r="R379" s="14" t="n">
        <v>1.4</v>
      </c>
      <c r="S379" s="14" t="n">
        <v>194.94</v>
      </c>
      <c r="T379" s="14" t="n">
        <v>0.9</v>
      </c>
      <c r="U379" s="14" t="n">
        <v>13</v>
      </c>
      <c r="V379" s="14" t="n">
        <v>20.75</v>
      </c>
      <c r="W379" s="14" t="n">
        <v>229.6</v>
      </c>
      <c r="X379" s="14" t="n">
        <v>294.4</v>
      </c>
      <c r="Y379" s="14" t="n">
        <v>64.8</v>
      </c>
      <c r="Z379" s="14" t="n">
        <v>1.92</v>
      </c>
      <c r="AA379" s="14" t="n">
        <v>0.01</v>
      </c>
      <c r="AB379" s="14" t="n">
        <v>0</v>
      </c>
      <c r="AC379" s="14" t="n">
        <v>0.02</v>
      </c>
      <c r="AD379" s="15" t="n">
        <f aca="false">H379*E379/1000</f>
        <v>0.025</v>
      </c>
      <c r="AE379" s="15" t="n">
        <f aca="false">I379*E379/1000</f>
        <v>0</v>
      </c>
      <c r="AF379" s="16" t="n">
        <f aca="false">ROUND(S379+T379+U379+V379-W379,2)</f>
        <v>-0.01</v>
      </c>
      <c r="AG379" s="16" t="n">
        <f aca="false">ROUND(X379-W379-Y379,2)</f>
        <v>0</v>
      </c>
    </row>
    <row r="380" customFormat="false" ht="15" hidden="false" customHeight="false" outlineLevel="0" collapsed="false">
      <c r="A380" s="13" t="s">
        <v>217</v>
      </c>
      <c r="B380" s="13" t="s">
        <v>297</v>
      </c>
      <c r="C380" s="13" t="s">
        <v>234</v>
      </c>
      <c r="D380" s="13" t="s">
        <v>231</v>
      </c>
      <c r="E380" s="14" t="n">
        <v>26.5</v>
      </c>
      <c r="F380" s="14" t="n">
        <v>72</v>
      </c>
      <c r="G380" s="14" t="n">
        <v>1.91</v>
      </c>
      <c r="H380" s="14" t="n">
        <v>31</v>
      </c>
      <c r="I380" s="14" t="n">
        <v>1</v>
      </c>
      <c r="J380" s="14" t="n">
        <v>60.42</v>
      </c>
      <c r="K380" s="14" t="n">
        <v>170.83</v>
      </c>
      <c r="L380" s="14" t="n">
        <v>1.74</v>
      </c>
      <c r="M380" s="14" t="n">
        <v>14.79</v>
      </c>
      <c r="N380" s="14" t="n">
        <v>5</v>
      </c>
      <c r="O380" s="14" t="n">
        <v>0.59</v>
      </c>
      <c r="P380" s="14" t="n">
        <v>1</v>
      </c>
      <c r="Q380" s="14"/>
      <c r="R380" s="14" t="n">
        <v>1.4</v>
      </c>
      <c r="S380" s="14" t="n">
        <v>195.34</v>
      </c>
      <c r="T380" s="14" t="n">
        <v>0.9</v>
      </c>
      <c r="U380" s="14" t="n">
        <v>13</v>
      </c>
      <c r="V380" s="14" t="n">
        <v>21.14</v>
      </c>
      <c r="W380" s="14" t="n">
        <v>230.38</v>
      </c>
      <c r="X380" s="14" t="n">
        <v>302.01</v>
      </c>
      <c r="Y380" s="14" t="n">
        <v>71.63</v>
      </c>
      <c r="Z380" s="14" t="n">
        <v>0.34</v>
      </c>
      <c r="AA380" s="14" t="n">
        <v>0.4</v>
      </c>
      <c r="AB380" s="14" t="n">
        <v>0.02</v>
      </c>
      <c r="AC380" s="14" t="n">
        <v>0.61</v>
      </c>
      <c r="AD380" s="15" t="n">
        <f aca="false">H380*E380/1000</f>
        <v>0.8215</v>
      </c>
      <c r="AE380" s="15" t="n">
        <f aca="false">I380*E380/1000</f>
        <v>0.0265</v>
      </c>
      <c r="AF380" s="16" t="n">
        <f aca="false">ROUND(S380+T380+U380+V380-W380,2)</f>
        <v>0</v>
      </c>
      <c r="AG380" s="16" t="n">
        <f aca="false">ROUND(X380-W380-Y380,2)</f>
        <v>0</v>
      </c>
    </row>
    <row r="381" customFormat="false" ht="15" hidden="false" customHeight="false" outlineLevel="0" collapsed="false">
      <c r="A381" s="13" t="s">
        <v>217</v>
      </c>
      <c r="B381" s="13" t="s">
        <v>297</v>
      </c>
      <c r="C381" s="13" t="s">
        <v>234</v>
      </c>
      <c r="D381" s="13" t="s">
        <v>230</v>
      </c>
      <c r="E381" s="14" t="n">
        <v>34.5</v>
      </c>
      <c r="F381" s="14" t="n">
        <v>252</v>
      </c>
      <c r="G381" s="14" t="n">
        <v>8.69</v>
      </c>
      <c r="H381" s="14" t="n">
        <v>112</v>
      </c>
      <c r="I381" s="14" t="n">
        <v>4</v>
      </c>
      <c r="J381" s="14" t="n">
        <v>61.31</v>
      </c>
      <c r="K381" s="14" t="n">
        <v>170.67</v>
      </c>
      <c r="L381" s="14" t="n">
        <v>1.71</v>
      </c>
      <c r="M381" s="14" t="n">
        <v>12.98</v>
      </c>
      <c r="N381" s="14" t="n">
        <v>5</v>
      </c>
      <c r="O381" s="14" t="n">
        <v>0.59</v>
      </c>
      <c r="P381" s="14" t="n">
        <v>1</v>
      </c>
      <c r="Q381" s="14"/>
      <c r="R381" s="14" t="n">
        <v>1.4</v>
      </c>
      <c r="S381" s="14" t="n">
        <v>193.35</v>
      </c>
      <c r="T381" s="14" t="n">
        <v>0.9</v>
      </c>
      <c r="U381" s="14" t="n">
        <v>13</v>
      </c>
      <c r="V381" s="14" t="n">
        <v>20.97</v>
      </c>
      <c r="W381" s="14" t="n">
        <v>228.22</v>
      </c>
      <c r="X381" s="14" t="n">
        <v>302.01</v>
      </c>
      <c r="Y381" s="14" t="n">
        <v>73.79</v>
      </c>
      <c r="Z381" s="14" t="n">
        <v>1.58</v>
      </c>
      <c r="AA381" s="14" t="n">
        <v>1.79</v>
      </c>
      <c r="AB381" s="14" t="n">
        <v>0.09</v>
      </c>
      <c r="AC381" s="14" t="n">
        <v>2.95</v>
      </c>
      <c r="AD381" s="15" t="n">
        <f aca="false">H381*E381/1000</f>
        <v>3.864</v>
      </c>
      <c r="AE381" s="15" t="n">
        <f aca="false">I381*E381/1000</f>
        <v>0.138</v>
      </c>
      <c r="AF381" s="16" t="n">
        <f aca="false">ROUND(S381+T381+U381+V381-W381,2)</f>
        <v>0</v>
      </c>
      <c r="AG381" s="16" t="n">
        <f aca="false">ROUND(X381-W381-Y381,2)</f>
        <v>0</v>
      </c>
    </row>
    <row r="382" customFormat="false" ht="15" hidden="false" customHeight="false" outlineLevel="0" collapsed="false">
      <c r="A382" s="13" t="s">
        <v>217</v>
      </c>
      <c r="B382" s="13" t="s">
        <v>297</v>
      </c>
      <c r="C382" s="13" t="s">
        <v>234</v>
      </c>
      <c r="D382" s="13" t="s">
        <v>286</v>
      </c>
      <c r="E382" s="14" t="n">
        <v>43.51</v>
      </c>
      <c r="F382" s="14" t="n">
        <v>164</v>
      </c>
      <c r="G382" s="14" t="n">
        <v>7.14</v>
      </c>
      <c r="H382" s="14" t="n">
        <v>9</v>
      </c>
      <c r="I382" s="14" t="n">
        <v>3</v>
      </c>
      <c r="J382" s="14" t="n">
        <v>58.14</v>
      </c>
      <c r="K382" s="14" t="n">
        <v>171.24</v>
      </c>
      <c r="L382" s="14" t="n">
        <v>1.81</v>
      </c>
      <c r="M382" s="14" t="n">
        <v>14.95</v>
      </c>
      <c r="N382" s="14" t="n">
        <v>7</v>
      </c>
      <c r="O382" s="14" t="n">
        <v>0.59</v>
      </c>
      <c r="P382" s="14" t="n">
        <v>1</v>
      </c>
      <c r="Q382" s="14"/>
      <c r="R382" s="14" t="n">
        <v>1.1</v>
      </c>
      <c r="S382" s="14" t="n">
        <v>197.69</v>
      </c>
      <c r="T382" s="14" t="n">
        <v>0.9</v>
      </c>
      <c r="U382" s="14" t="n">
        <v>13</v>
      </c>
      <c r="V382" s="14" t="n">
        <v>21.57</v>
      </c>
      <c r="W382" s="14" t="n">
        <v>233.16</v>
      </c>
      <c r="X382" s="14" t="n">
        <v>294.4</v>
      </c>
      <c r="Y382" s="14" t="n">
        <v>61.24</v>
      </c>
      <c r="Z382" s="14" t="n">
        <v>3.76</v>
      </c>
      <c r="AA382" s="14" t="n">
        <v>0.2</v>
      </c>
      <c r="AB382" s="14" t="n">
        <v>0.09</v>
      </c>
      <c r="AC382" s="14" t="n">
        <v>0.32</v>
      </c>
      <c r="AD382" s="15" t="n">
        <f aca="false">H382*E382/1000</f>
        <v>0.39159</v>
      </c>
      <c r="AE382" s="15" t="n">
        <f aca="false">I382*E382/1000</f>
        <v>0.13053</v>
      </c>
      <c r="AF382" s="16" t="n">
        <f aca="false">ROUND(S382+T382+U382+V382-W382,2)</f>
        <v>0</v>
      </c>
      <c r="AG382" s="16" t="n">
        <f aca="false">ROUND(X382-W382-Y382,2)</f>
        <v>0</v>
      </c>
    </row>
    <row r="383" customFormat="false" ht="15" hidden="false" customHeight="false" outlineLevel="0" collapsed="false">
      <c r="A383" s="13" t="s">
        <v>217</v>
      </c>
      <c r="B383" s="13" t="s">
        <v>297</v>
      </c>
      <c r="C383" s="13" t="s">
        <v>234</v>
      </c>
      <c r="D383" s="13" t="s">
        <v>233</v>
      </c>
      <c r="E383" s="14" t="n">
        <v>22.5</v>
      </c>
      <c r="F383" s="14" t="n">
        <v>18</v>
      </c>
      <c r="G383" s="14" t="n">
        <v>0.41</v>
      </c>
      <c r="H383" s="14" t="n">
        <v>12</v>
      </c>
      <c r="I383" s="14" t="n">
        <v>1</v>
      </c>
      <c r="J383" s="14" t="n">
        <v>57.3</v>
      </c>
      <c r="K383" s="14" t="n">
        <v>171.41</v>
      </c>
      <c r="L383" s="14" t="n">
        <v>1.83</v>
      </c>
      <c r="M383" s="14" t="n">
        <v>16.72</v>
      </c>
      <c r="N383" s="14" t="n">
        <v>4.93</v>
      </c>
      <c r="O383" s="14" t="n">
        <v>0.59</v>
      </c>
      <c r="P383" s="14" t="n">
        <v>1</v>
      </c>
      <c r="Q383" s="14"/>
      <c r="R383" s="14" t="n">
        <v>1.1</v>
      </c>
      <c r="S383" s="14" t="n">
        <v>197.57</v>
      </c>
      <c r="T383" s="14" t="n">
        <v>0.9</v>
      </c>
      <c r="U383" s="14" t="n">
        <v>13</v>
      </c>
      <c r="V383" s="14" t="n">
        <v>21.74</v>
      </c>
      <c r="W383" s="14" t="n">
        <v>233.21</v>
      </c>
      <c r="X383" s="14" t="n">
        <v>294.4</v>
      </c>
      <c r="Y383" s="14" t="n">
        <v>61.19</v>
      </c>
      <c r="Z383" s="14" t="n">
        <v>-0.09</v>
      </c>
      <c r="AA383" s="14" t="n">
        <v>0.14</v>
      </c>
      <c r="AB383" s="14" t="n">
        <v>0.02</v>
      </c>
      <c r="AC383" s="14" t="n">
        <v>0.18</v>
      </c>
      <c r="AD383" s="15" t="n">
        <f aca="false">H383*E383/1000</f>
        <v>0.27</v>
      </c>
      <c r="AE383" s="15" t="n">
        <f aca="false">I383*E383/1000</f>
        <v>0.0225</v>
      </c>
      <c r="AF383" s="16" t="n">
        <f aca="false">ROUND(S383+T383+U383+V383-W383,2)</f>
        <v>0</v>
      </c>
      <c r="AG383" s="16" t="n">
        <f aca="false">ROUND(X383-W383-Y383,2)</f>
        <v>0</v>
      </c>
    </row>
    <row r="384" customFormat="false" ht="15" hidden="false" customHeight="false" outlineLevel="0" collapsed="false">
      <c r="A384" s="13" t="s">
        <v>217</v>
      </c>
      <c r="B384" s="13" t="s">
        <v>297</v>
      </c>
      <c r="C384" s="13" t="s">
        <v>234</v>
      </c>
      <c r="D384" s="13" t="s">
        <v>287</v>
      </c>
      <c r="E384" s="14" t="n">
        <v>48</v>
      </c>
      <c r="F384" s="14" t="n">
        <v>213</v>
      </c>
      <c r="G384" s="14" t="n">
        <v>10.22</v>
      </c>
      <c r="H384" s="14" t="n">
        <v>27</v>
      </c>
      <c r="I384" s="14"/>
      <c r="J384" s="14" t="n">
        <v>65.06</v>
      </c>
      <c r="K384" s="14" t="n">
        <v>170.07</v>
      </c>
      <c r="L384" s="14" t="n">
        <v>1.61</v>
      </c>
      <c r="M384" s="14" t="n">
        <v>18.22</v>
      </c>
      <c r="N384" s="14" t="n">
        <v>7</v>
      </c>
      <c r="O384" s="14" t="n">
        <v>0.59</v>
      </c>
      <c r="P384" s="14" t="n">
        <v>1</v>
      </c>
      <c r="Q384" s="14"/>
      <c r="R384" s="14" t="n">
        <v>1.1</v>
      </c>
      <c r="S384" s="14" t="n">
        <v>199.59</v>
      </c>
      <c r="T384" s="14" t="n">
        <v>0.9</v>
      </c>
      <c r="U384" s="14" t="n">
        <v>13</v>
      </c>
      <c r="V384" s="14" t="n">
        <v>20.34</v>
      </c>
      <c r="W384" s="14" t="n">
        <v>233.83</v>
      </c>
      <c r="X384" s="14" t="n">
        <v>294.4</v>
      </c>
      <c r="Y384" s="14" t="n">
        <v>60.57</v>
      </c>
      <c r="Z384" s="14" t="n">
        <v>4.75</v>
      </c>
      <c r="AA384" s="14" t="n">
        <v>0.66</v>
      </c>
      <c r="AB384" s="14" t="n">
        <v>0</v>
      </c>
      <c r="AC384" s="14" t="n">
        <v>0.79</v>
      </c>
      <c r="AD384" s="15" t="n">
        <f aca="false">H384*E384/1000</f>
        <v>1.296</v>
      </c>
      <c r="AE384" s="15" t="n">
        <f aca="false">I384*E384/1000</f>
        <v>0</v>
      </c>
      <c r="AF384" s="16" t="n">
        <f aca="false">ROUND(S384+T384+U384+V384-W384,2)</f>
        <v>0</v>
      </c>
      <c r="AG384" s="16" t="n">
        <f aca="false">ROUND(X384-W384-Y384,2)</f>
        <v>0</v>
      </c>
    </row>
    <row r="385" customFormat="false" ht="15" hidden="false" customHeight="false" outlineLevel="0" collapsed="false">
      <c r="A385" s="13" t="s">
        <v>217</v>
      </c>
      <c r="B385" s="13" t="s">
        <v>297</v>
      </c>
      <c r="C385" s="13" t="s">
        <v>234</v>
      </c>
      <c r="D385" s="13" t="s">
        <v>223</v>
      </c>
      <c r="E385" s="14" t="n">
        <v>29.7</v>
      </c>
      <c r="F385" s="14" t="n">
        <v>42</v>
      </c>
      <c r="G385" s="14" t="n">
        <v>1.25</v>
      </c>
      <c r="H385" s="14" t="n">
        <v>1</v>
      </c>
      <c r="I385" s="14"/>
      <c r="J385" s="14" t="n">
        <v>65.43</v>
      </c>
      <c r="K385" s="14" t="n">
        <v>170.01</v>
      </c>
      <c r="L385" s="14" t="n">
        <v>1.6</v>
      </c>
      <c r="M385" s="14" t="n">
        <v>14.05</v>
      </c>
      <c r="N385" s="14" t="n">
        <v>4</v>
      </c>
      <c r="O385" s="14" t="n">
        <v>0.59</v>
      </c>
      <c r="P385" s="14" t="n">
        <v>1</v>
      </c>
      <c r="Q385" s="14"/>
      <c r="R385" s="14" t="n">
        <v>1.4</v>
      </c>
      <c r="S385" s="14" t="n">
        <v>192.65</v>
      </c>
      <c r="T385" s="14" t="n">
        <v>0.9</v>
      </c>
      <c r="U385" s="14" t="n">
        <v>13</v>
      </c>
      <c r="V385" s="14" t="n">
        <v>20.28</v>
      </c>
      <c r="W385" s="14" t="n">
        <v>226.83</v>
      </c>
      <c r="X385" s="14" t="n">
        <v>294.4</v>
      </c>
      <c r="Y385" s="14" t="n">
        <v>67.57</v>
      </c>
      <c r="Z385" s="14" t="n">
        <v>0.81</v>
      </c>
      <c r="AA385" s="14" t="n">
        <v>0.01</v>
      </c>
      <c r="AB385" s="14" t="n">
        <v>0</v>
      </c>
      <c r="AC385" s="14" t="n">
        <v>0.02</v>
      </c>
      <c r="AD385" s="15" t="n">
        <f aca="false">H385*E385/1000</f>
        <v>0.0297</v>
      </c>
      <c r="AE385" s="15" t="n">
        <f aca="false">I385*E385/1000</f>
        <v>0</v>
      </c>
      <c r="AF385" s="16" t="n">
        <f aca="false">ROUND(S385+T385+U385+V385-W385,2)</f>
        <v>0</v>
      </c>
      <c r="AG385" s="16" t="n">
        <f aca="false">ROUND(X385-W385-Y385,2)</f>
        <v>0</v>
      </c>
    </row>
    <row r="386" customFormat="false" ht="15" hidden="false" customHeight="false" outlineLevel="0" collapsed="false">
      <c r="A386" s="13" t="s">
        <v>217</v>
      </c>
      <c r="B386" s="13" t="s">
        <v>297</v>
      </c>
      <c r="C386" s="13" t="s">
        <v>234</v>
      </c>
      <c r="D386" s="13" t="s">
        <v>222</v>
      </c>
      <c r="E386" s="14" t="n">
        <v>20.5</v>
      </c>
      <c r="F386" s="14" t="n">
        <v>72</v>
      </c>
      <c r="G386" s="14" t="n">
        <v>1.48</v>
      </c>
      <c r="H386" s="14" t="n">
        <v>9</v>
      </c>
      <c r="I386" s="14"/>
      <c r="J386" s="14" t="n">
        <v>58.9</v>
      </c>
      <c r="K386" s="14" t="n">
        <v>171.1</v>
      </c>
      <c r="L386" s="14" t="n">
        <v>1.78</v>
      </c>
      <c r="M386" s="14" t="n">
        <v>14.78</v>
      </c>
      <c r="N386" s="14" t="n">
        <v>7</v>
      </c>
      <c r="O386" s="14" t="n">
        <v>0.59</v>
      </c>
      <c r="P386" s="14" t="n">
        <v>1</v>
      </c>
      <c r="Q386" s="14"/>
      <c r="R386" s="14" t="n">
        <v>1.4</v>
      </c>
      <c r="S386" s="14" t="n">
        <v>197.65</v>
      </c>
      <c r="T386" s="14" t="n">
        <v>0.9</v>
      </c>
      <c r="U386" s="14" t="n">
        <v>13</v>
      </c>
      <c r="V386" s="14" t="n">
        <v>21.42</v>
      </c>
      <c r="W386" s="14" t="n">
        <v>232.97</v>
      </c>
      <c r="X386" s="14" t="n">
        <v>294.4</v>
      </c>
      <c r="Y386" s="14" t="n">
        <v>61.43</v>
      </c>
      <c r="Z386" s="14" t="n">
        <v>0.7</v>
      </c>
      <c r="AA386" s="14" t="n">
        <v>0.09</v>
      </c>
      <c r="AB386" s="14" t="n">
        <v>0</v>
      </c>
      <c r="AC386" s="14" t="n">
        <v>0.11</v>
      </c>
      <c r="AD386" s="15" t="n">
        <f aca="false">H386*E386/1000</f>
        <v>0.1845</v>
      </c>
      <c r="AE386" s="15" t="n">
        <f aca="false">I386*E386/1000</f>
        <v>0</v>
      </c>
      <c r="AF386" s="16" t="n">
        <f aca="false">ROUND(S386+T386+U386+V386-W386,2)</f>
        <v>0</v>
      </c>
      <c r="AG386" s="16" t="n">
        <f aca="false">ROUND(X386-W386-Y386,2)</f>
        <v>0</v>
      </c>
    </row>
    <row r="387" customFormat="false" ht="15" hidden="false" customHeight="false" outlineLevel="0" collapsed="false">
      <c r="A387" s="13" t="s">
        <v>217</v>
      </c>
      <c r="B387" s="13" t="s">
        <v>297</v>
      </c>
      <c r="C387" s="13" t="s">
        <v>234</v>
      </c>
      <c r="D387" s="13" t="s">
        <v>228</v>
      </c>
      <c r="E387" s="14" t="n">
        <v>28</v>
      </c>
      <c r="F387" s="14" t="n">
        <v>1</v>
      </c>
      <c r="G387" s="14" t="n">
        <v>0.03</v>
      </c>
      <c r="H387" s="14"/>
      <c r="I387" s="14"/>
      <c r="J387" s="14" t="n">
        <v>68</v>
      </c>
      <c r="K387" s="14" t="n">
        <v>169.64</v>
      </c>
      <c r="L387" s="14" t="n">
        <v>1.54</v>
      </c>
      <c r="M387" s="14" t="n">
        <v>27.69</v>
      </c>
      <c r="N387" s="14" t="n">
        <v>4</v>
      </c>
      <c r="O387" s="14" t="n">
        <v>0.59</v>
      </c>
      <c r="P387" s="14" t="n">
        <v>1</v>
      </c>
      <c r="Q387" s="14"/>
      <c r="R387" s="14" t="n">
        <v>1.4</v>
      </c>
      <c r="S387" s="14" t="n">
        <v>205.87</v>
      </c>
      <c r="T387" s="14" t="n">
        <v>0.9</v>
      </c>
      <c r="U387" s="14" t="n">
        <v>13</v>
      </c>
      <c r="V387" s="14" t="n">
        <v>19.9</v>
      </c>
      <c r="W387" s="14" t="n">
        <v>239.66</v>
      </c>
      <c r="X387" s="14" t="n">
        <v>294.4</v>
      </c>
      <c r="Y387" s="14" t="n">
        <v>54.74</v>
      </c>
      <c r="Z387" s="14" t="n">
        <v>0.02</v>
      </c>
      <c r="AA387" s="14" t="n">
        <v>0</v>
      </c>
      <c r="AB387" s="14" t="n">
        <v>0</v>
      </c>
      <c r="AC387" s="14" t="n">
        <v>0</v>
      </c>
      <c r="AD387" s="15" t="n">
        <f aca="false">H387*E387/1000</f>
        <v>0</v>
      </c>
      <c r="AE387" s="15" t="n">
        <f aca="false">I387*E387/1000</f>
        <v>0</v>
      </c>
      <c r="AF387" s="16" t="n">
        <f aca="false">ROUND(S387+T387+U387+V387-W387,2)</f>
        <v>0.01</v>
      </c>
      <c r="AG387" s="16" t="n">
        <f aca="false">ROUND(X387-W387-Y387,2)</f>
        <v>0</v>
      </c>
    </row>
    <row r="388" customFormat="false" ht="15" hidden="false" customHeight="false" outlineLevel="0" collapsed="false">
      <c r="A388" s="13" t="s">
        <v>217</v>
      </c>
      <c r="B388" s="13" t="s">
        <v>297</v>
      </c>
      <c r="C388" s="13" t="s">
        <v>234</v>
      </c>
      <c r="D388" s="13" t="s">
        <v>224</v>
      </c>
      <c r="E388" s="14" t="n">
        <v>39.5</v>
      </c>
      <c r="F388" s="14" t="n">
        <v>132</v>
      </c>
      <c r="G388" s="14" t="n">
        <v>5.21</v>
      </c>
      <c r="H388" s="14" t="n">
        <v>9</v>
      </c>
      <c r="I388" s="14" t="n">
        <v>2</v>
      </c>
      <c r="J388" s="14" t="n">
        <v>58.02</v>
      </c>
      <c r="K388" s="14" t="n">
        <v>171.27</v>
      </c>
      <c r="L388" s="14" t="n">
        <v>1.81</v>
      </c>
      <c r="M388" s="14" t="n">
        <v>12.37</v>
      </c>
      <c r="N388" s="14" t="n">
        <v>4</v>
      </c>
      <c r="O388" s="14" t="n">
        <v>0.59</v>
      </c>
      <c r="P388" s="14" t="n">
        <v>1</v>
      </c>
      <c r="Q388" s="14"/>
      <c r="R388" s="14" t="n">
        <v>1.4</v>
      </c>
      <c r="S388" s="14" t="n">
        <v>192.43</v>
      </c>
      <c r="T388" s="14" t="n">
        <v>0.9</v>
      </c>
      <c r="U388" s="14" t="n">
        <v>13</v>
      </c>
      <c r="V388" s="14" t="n">
        <v>21.6</v>
      </c>
      <c r="W388" s="14" t="n">
        <v>227.93</v>
      </c>
      <c r="X388" s="14" t="n">
        <v>294.4</v>
      </c>
      <c r="Y388" s="14" t="n">
        <v>66.47</v>
      </c>
      <c r="Z388" s="14" t="n">
        <v>2.96</v>
      </c>
      <c r="AA388" s="14" t="n">
        <v>0.17</v>
      </c>
      <c r="AB388" s="14" t="n">
        <v>0.05</v>
      </c>
      <c r="AC388" s="14" t="n">
        <v>0.29</v>
      </c>
      <c r="AD388" s="15" t="n">
        <f aca="false">H388*E388/1000</f>
        <v>0.3555</v>
      </c>
      <c r="AE388" s="15" t="n">
        <f aca="false">I388*E388/1000</f>
        <v>0.079</v>
      </c>
      <c r="AF388" s="16" t="n">
        <f aca="false">ROUND(S388+T388+U388+V388-W388,2)</f>
        <v>0</v>
      </c>
      <c r="AG388" s="16" t="n">
        <f aca="false">ROUND(X388-W388-Y388,2)</f>
        <v>0</v>
      </c>
    </row>
    <row r="389" customFormat="false" ht="15" hidden="false" customHeight="false" outlineLevel="0" collapsed="false">
      <c r="A389" s="13" t="s">
        <v>217</v>
      </c>
      <c r="B389" s="13" t="s">
        <v>297</v>
      </c>
      <c r="C389" s="13" t="s">
        <v>234</v>
      </c>
      <c r="D389" s="13" t="s">
        <v>288</v>
      </c>
      <c r="E389" s="14" t="n">
        <v>27.9</v>
      </c>
      <c r="F389" s="14" t="n">
        <v>18</v>
      </c>
      <c r="G389" s="14" t="n">
        <v>0.5</v>
      </c>
      <c r="H389" s="14" t="n">
        <v>23</v>
      </c>
      <c r="I389" s="14"/>
      <c r="J389" s="14" t="n">
        <v>61.01</v>
      </c>
      <c r="K389" s="14" t="n">
        <v>170.72</v>
      </c>
      <c r="L389" s="14" t="n">
        <v>1.72</v>
      </c>
      <c r="M389" s="14" t="n">
        <v>14.24</v>
      </c>
      <c r="N389" s="14" t="n">
        <v>7</v>
      </c>
      <c r="O389" s="14" t="n">
        <v>0.59</v>
      </c>
      <c r="P389" s="14" t="n">
        <v>1</v>
      </c>
      <c r="Q389" s="14"/>
      <c r="R389" s="14" t="n">
        <v>1.1</v>
      </c>
      <c r="S389" s="14" t="n">
        <v>196.37</v>
      </c>
      <c r="T389" s="14" t="n">
        <v>0.9</v>
      </c>
      <c r="U389" s="14" t="n">
        <v>13</v>
      </c>
      <c r="V389" s="14" t="n">
        <v>21.03</v>
      </c>
      <c r="W389" s="14" t="n">
        <v>231.3</v>
      </c>
      <c r="X389" s="14" t="n">
        <v>294.4</v>
      </c>
      <c r="Y389" s="14" t="n">
        <v>63.1</v>
      </c>
      <c r="Z389" s="14" t="n">
        <v>-0.4</v>
      </c>
      <c r="AA389" s="14" t="n">
        <v>0.31</v>
      </c>
      <c r="AB389" s="14" t="n">
        <v>0</v>
      </c>
      <c r="AC389" s="14" t="n">
        <v>0.4</v>
      </c>
      <c r="AD389" s="15" t="n">
        <f aca="false">H389*E389/1000</f>
        <v>0.6417</v>
      </c>
      <c r="AE389" s="15" t="n">
        <f aca="false">I389*E389/1000</f>
        <v>0</v>
      </c>
      <c r="AF389" s="16" t="n">
        <f aca="false">ROUND(S389+T389+U389+V389-W389,2)</f>
        <v>0</v>
      </c>
      <c r="AG389" s="16" t="n">
        <f aca="false">ROUND(X389-W389-Y389,2)</f>
        <v>0</v>
      </c>
    </row>
    <row r="390" customFormat="false" ht="15" hidden="false" customHeight="false" outlineLevel="0" collapsed="false">
      <c r="A390" s="13" t="s">
        <v>217</v>
      </c>
      <c r="B390" s="13" t="s">
        <v>297</v>
      </c>
      <c r="C390" s="13" t="s">
        <v>234</v>
      </c>
      <c r="D390" s="13" t="s">
        <v>248</v>
      </c>
      <c r="E390" s="14" t="n">
        <v>66</v>
      </c>
      <c r="F390" s="14" t="n">
        <v>3</v>
      </c>
      <c r="G390" s="14" t="n">
        <v>0.2</v>
      </c>
      <c r="H390" s="14"/>
      <c r="I390" s="14"/>
      <c r="J390" s="14" t="n">
        <v>64.07</v>
      </c>
      <c r="K390" s="14" t="n">
        <v>170.22</v>
      </c>
      <c r="L390" s="14" t="n">
        <v>1.64</v>
      </c>
      <c r="M390" s="14" t="n">
        <v>11.92</v>
      </c>
      <c r="N390" s="14" t="n">
        <v>4.93</v>
      </c>
      <c r="O390" s="14" t="n">
        <v>0.59</v>
      </c>
      <c r="P390" s="14" t="n">
        <v>1</v>
      </c>
      <c r="Q390" s="14"/>
      <c r="R390" s="14" t="n">
        <v>1.4</v>
      </c>
      <c r="S390" s="14" t="n">
        <v>191.7</v>
      </c>
      <c r="T390" s="14" t="n">
        <v>0.9</v>
      </c>
      <c r="U390" s="14" t="n">
        <v>13</v>
      </c>
      <c r="V390" s="14" t="n">
        <v>20.5</v>
      </c>
      <c r="W390" s="14" t="n">
        <v>226.1</v>
      </c>
      <c r="X390" s="14" t="n">
        <v>294.4</v>
      </c>
      <c r="Y390" s="14" t="n">
        <v>68.3</v>
      </c>
      <c r="Z390" s="14" t="n">
        <v>0.14</v>
      </c>
      <c r="AA390" s="14" t="n">
        <v>0</v>
      </c>
      <c r="AB390" s="14" t="n">
        <v>0</v>
      </c>
      <c r="AC390" s="14" t="n">
        <v>0</v>
      </c>
      <c r="AD390" s="15" t="n">
        <f aca="false">H390*E390/1000</f>
        <v>0</v>
      </c>
      <c r="AE390" s="15" t="n">
        <f aca="false">I390*E390/1000</f>
        <v>0</v>
      </c>
      <c r="AF390" s="16" t="n">
        <f aca="false">ROUND(S390+T390+U390+V390-W390,2)</f>
        <v>0</v>
      </c>
      <c r="AG390" s="16" t="n">
        <f aca="false">ROUND(X390-W390-Y390,2)</f>
        <v>0</v>
      </c>
    </row>
    <row r="391" customFormat="false" ht="15" hidden="false" customHeight="false" outlineLevel="0" collapsed="false">
      <c r="A391" s="13" t="s">
        <v>217</v>
      </c>
      <c r="B391" s="13" t="s">
        <v>297</v>
      </c>
      <c r="C391" s="13" t="s">
        <v>234</v>
      </c>
      <c r="D391" s="13" t="s">
        <v>227</v>
      </c>
      <c r="E391" s="14" t="n">
        <v>18</v>
      </c>
      <c r="F391" s="14" t="n">
        <v>1</v>
      </c>
      <c r="G391" s="14" t="n">
        <v>0.02</v>
      </c>
      <c r="H391" s="14"/>
      <c r="I391" s="14"/>
      <c r="J391" s="14" t="n">
        <v>64.17</v>
      </c>
      <c r="K391" s="14" t="n">
        <v>170.21</v>
      </c>
      <c r="L391" s="14" t="n">
        <v>1.64</v>
      </c>
      <c r="M391" s="14" t="n">
        <v>16.66</v>
      </c>
      <c r="N391" s="14" t="n">
        <v>4</v>
      </c>
      <c r="O391" s="14" t="n">
        <v>0.59</v>
      </c>
      <c r="P391" s="14" t="n">
        <v>1</v>
      </c>
      <c r="Q391" s="14"/>
      <c r="R391" s="14" t="n">
        <v>1.4</v>
      </c>
      <c r="S391" s="14" t="n">
        <v>195.49</v>
      </c>
      <c r="T391" s="14" t="n">
        <v>0.9</v>
      </c>
      <c r="U391" s="14" t="n">
        <v>13</v>
      </c>
      <c r="V391" s="14" t="n">
        <v>20.49</v>
      </c>
      <c r="W391" s="14" t="n">
        <v>229.88</v>
      </c>
      <c r="X391" s="14" t="n">
        <v>294.4</v>
      </c>
      <c r="Y391" s="14" t="n">
        <v>64.52</v>
      </c>
      <c r="Z391" s="14" t="n">
        <v>0.01</v>
      </c>
      <c r="AA391" s="14" t="n">
        <v>0</v>
      </c>
      <c r="AB391" s="14" t="n">
        <v>0</v>
      </c>
      <c r="AC391" s="14" t="n">
        <v>0</v>
      </c>
      <c r="AD391" s="15" t="n">
        <f aca="false">H391*E391/1000</f>
        <v>0</v>
      </c>
      <c r="AE391" s="15" t="n">
        <f aca="false">I391*E391/1000</f>
        <v>0</v>
      </c>
      <c r="AF391" s="16" t="n">
        <f aca="false">ROUND(S391+T391+U391+V391-W391,2)</f>
        <v>0</v>
      </c>
      <c r="AG391" s="16" t="n">
        <f aca="false">ROUND(X391-W391-Y391,2)</f>
        <v>0</v>
      </c>
    </row>
    <row r="392" customFormat="false" ht="15" hidden="false" customHeight="false" outlineLevel="0" collapsed="false">
      <c r="A392" s="13" t="s">
        <v>217</v>
      </c>
      <c r="B392" s="13" t="s">
        <v>297</v>
      </c>
      <c r="C392" s="13" t="s">
        <v>234</v>
      </c>
      <c r="D392" s="13" t="s">
        <v>299</v>
      </c>
      <c r="E392" s="14" t="n">
        <v>595</v>
      </c>
      <c r="F392" s="14" t="n">
        <v>2</v>
      </c>
      <c r="G392" s="14" t="n">
        <v>1.19</v>
      </c>
      <c r="H392" s="14" t="n">
        <v>1</v>
      </c>
      <c r="I392" s="14"/>
      <c r="J392" s="14" t="n">
        <v>67.83</v>
      </c>
      <c r="K392" s="14" t="n">
        <v>169.67</v>
      </c>
      <c r="L392" s="14" t="n">
        <v>1.55</v>
      </c>
      <c r="M392" s="14" t="n">
        <v>8.91</v>
      </c>
      <c r="N392" s="14" t="n">
        <v>5</v>
      </c>
      <c r="O392" s="14"/>
      <c r="P392" s="14" t="n">
        <v>1</v>
      </c>
      <c r="Q392" s="14"/>
      <c r="R392" s="14" t="n">
        <v>0.85</v>
      </c>
      <c r="S392" s="14" t="n">
        <v>186.97</v>
      </c>
      <c r="T392" s="14" t="n">
        <v>0.9</v>
      </c>
      <c r="U392" s="14" t="n">
        <v>13</v>
      </c>
      <c r="V392" s="14" t="n">
        <v>19.92</v>
      </c>
      <c r="W392" s="14" t="n">
        <v>220.79</v>
      </c>
      <c r="X392" s="14" t="n">
        <v>289.86</v>
      </c>
      <c r="Y392" s="14" t="n">
        <v>69.07</v>
      </c>
      <c r="Z392" s="14" t="n">
        <v>0.17</v>
      </c>
      <c r="AA392" s="14" t="n">
        <v>0.24</v>
      </c>
      <c r="AB392" s="14" t="n">
        <v>0</v>
      </c>
      <c r="AC392" s="14" t="n">
        <v>0.41</v>
      </c>
      <c r="AD392" s="15" t="n">
        <f aca="false">H392*E392/1000</f>
        <v>0.595</v>
      </c>
      <c r="AE392" s="15" t="n">
        <f aca="false">I392*E392/1000</f>
        <v>0</v>
      </c>
      <c r="AF392" s="16" t="n">
        <f aca="false">ROUND(S392+T392+U392+V392-W392,2)</f>
        <v>0</v>
      </c>
      <c r="AG392" s="16" t="n">
        <f aca="false">ROUND(X392-W392-Y392,2)</f>
        <v>0</v>
      </c>
    </row>
    <row r="393" customFormat="false" ht="15" hidden="false" customHeight="false" outlineLevel="0" collapsed="false">
      <c r="A393" s="13" t="s">
        <v>217</v>
      </c>
      <c r="B393" s="13" t="s">
        <v>297</v>
      </c>
      <c r="C393" s="13" t="s">
        <v>234</v>
      </c>
      <c r="D393" s="13" t="s">
        <v>300</v>
      </c>
      <c r="E393" s="14" t="n">
        <v>63</v>
      </c>
      <c r="F393" s="14" t="n">
        <v>306</v>
      </c>
      <c r="G393" s="14" t="n">
        <v>19.28</v>
      </c>
      <c r="H393" s="14"/>
      <c r="I393" s="14"/>
      <c r="J393" s="14" t="n">
        <v>73.53</v>
      </c>
      <c r="K393" s="14" t="n">
        <v>168.94</v>
      </c>
      <c r="L393" s="14" t="n">
        <v>1.43</v>
      </c>
      <c r="M393" s="14" t="n">
        <v>11.11</v>
      </c>
      <c r="N393" s="14" t="n">
        <v>4.93</v>
      </c>
      <c r="O393" s="14" t="n">
        <v>0.59</v>
      </c>
      <c r="P393" s="14" t="n">
        <v>1</v>
      </c>
      <c r="Q393" s="14"/>
      <c r="R393" s="14" t="n">
        <v>1.4</v>
      </c>
      <c r="S393" s="14" t="n">
        <v>189.39</v>
      </c>
      <c r="T393" s="14" t="n">
        <v>0.9</v>
      </c>
      <c r="U393" s="14" t="n">
        <v>13</v>
      </c>
      <c r="V393" s="14" t="n">
        <v>19.15</v>
      </c>
      <c r="W393" s="14" t="n">
        <v>222.44</v>
      </c>
      <c r="X393" s="14" t="n">
        <v>302.01</v>
      </c>
      <c r="Y393" s="14" t="n">
        <v>79.57</v>
      </c>
      <c r="Z393" s="14" t="n">
        <v>15.34</v>
      </c>
      <c r="AA393" s="14" t="n">
        <v>0</v>
      </c>
      <c r="AB393" s="14" t="n">
        <v>0</v>
      </c>
      <c r="AC393" s="14" t="n">
        <v>0</v>
      </c>
      <c r="AD393" s="15" t="n">
        <f aca="false">H393*E393/1000</f>
        <v>0</v>
      </c>
      <c r="AE393" s="15" t="n">
        <f aca="false">I393*E393/1000</f>
        <v>0</v>
      </c>
      <c r="AF393" s="16" t="n">
        <f aca="false">ROUND(S393+T393+U393+V393-W393,2)</f>
        <v>0</v>
      </c>
      <c r="AG393" s="16" t="n">
        <f aca="false">ROUND(X393-W393-Y393,2)</f>
        <v>0</v>
      </c>
    </row>
    <row r="394" customFormat="false" ht="15" hidden="false" customHeight="false" outlineLevel="0" collapsed="false">
      <c r="A394" s="13" t="s">
        <v>217</v>
      </c>
      <c r="B394" s="13" t="s">
        <v>297</v>
      </c>
      <c r="C394" s="13" t="s">
        <v>234</v>
      </c>
      <c r="D394" s="13" t="s">
        <v>301</v>
      </c>
      <c r="E394" s="14" t="n">
        <v>62</v>
      </c>
      <c r="F394" s="14" t="n">
        <v>309</v>
      </c>
      <c r="G394" s="14" t="n">
        <v>19.16</v>
      </c>
      <c r="H394" s="14"/>
      <c r="I394" s="14"/>
      <c r="J394" s="14" t="n">
        <v>74.13</v>
      </c>
      <c r="K394" s="14" t="n">
        <v>168.87</v>
      </c>
      <c r="L394" s="14" t="n">
        <v>1.42</v>
      </c>
      <c r="M394" s="14" t="n">
        <v>11.2</v>
      </c>
      <c r="N394" s="14" t="n">
        <v>4.93</v>
      </c>
      <c r="O394" s="14" t="n">
        <v>0.59</v>
      </c>
      <c r="P394" s="14" t="n">
        <v>1</v>
      </c>
      <c r="Q394" s="14"/>
      <c r="R394" s="14" t="n">
        <v>1.4</v>
      </c>
      <c r="S394" s="14" t="n">
        <v>189.4</v>
      </c>
      <c r="T394" s="14" t="n">
        <v>0.9</v>
      </c>
      <c r="U394" s="14" t="n">
        <v>13</v>
      </c>
      <c r="V394" s="14" t="n">
        <v>19.08</v>
      </c>
      <c r="W394" s="14" t="n">
        <v>222.38</v>
      </c>
      <c r="X394" s="14" t="n">
        <v>302.01</v>
      </c>
      <c r="Y394" s="14" t="n">
        <v>79.63</v>
      </c>
      <c r="Z394" s="14" t="n">
        <v>15.26</v>
      </c>
      <c r="AA394" s="14" t="n">
        <v>0</v>
      </c>
      <c r="AB394" s="14" t="n">
        <v>0</v>
      </c>
      <c r="AC394" s="14" t="n">
        <v>0</v>
      </c>
      <c r="AD394" s="15" t="n">
        <f aca="false">H394*E394/1000</f>
        <v>0</v>
      </c>
      <c r="AE394" s="15" t="n">
        <f aca="false">I394*E394/1000</f>
        <v>0</v>
      </c>
      <c r="AF394" s="16" t="n">
        <f aca="false">ROUND(S394+T394+U394+V394-W394,2)</f>
        <v>0</v>
      </c>
      <c r="AG394" s="16" t="n">
        <f aca="false">ROUND(X394-W394-Y394,2)</f>
        <v>0</v>
      </c>
    </row>
    <row r="395" customFormat="false" ht="15" hidden="false" customHeight="false" outlineLevel="0" collapsed="false">
      <c r="A395" s="13" t="s">
        <v>217</v>
      </c>
      <c r="B395" s="13" t="s">
        <v>297</v>
      </c>
      <c r="C395" s="13" t="s">
        <v>234</v>
      </c>
      <c r="D395" s="13" t="s">
        <v>302</v>
      </c>
      <c r="E395" s="14" t="n">
        <v>37</v>
      </c>
      <c r="F395" s="14" t="n">
        <v>4</v>
      </c>
      <c r="G395" s="14" t="n">
        <v>0.15</v>
      </c>
      <c r="H395" s="14"/>
      <c r="I395" s="14"/>
      <c r="J395" s="14" t="n">
        <v>53.34</v>
      </c>
      <c r="K395" s="14" t="n">
        <v>172.23</v>
      </c>
      <c r="L395" s="14" t="n">
        <v>1.97</v>
      </c>
      <c r="M395" s="14" t="n">
        <v>12.78</v>
      </c>
      <c r="N395" s="14" t="n">
        <v>4.93</v>
      </c>
      <c r="O395" s="14" t="n">
        <v>0.59</v>
      </c>
      <c r="P395" s="14" t="n">
        <v>1</v>
      </c>
      <c r="Q395" s="14"/>
      <c r="R395" s="14" t="n">
        <v>1.4</v>
      </c>
      <c r="S395" s="14" t="n">
        <v>194.9</v>
      </c>
      <c r="T395" s="14" t="n">
        <v>0.9</v>
      </c>
      <c r="U395" s="14" t="n">
        <v>13</v>
      </c>
      <c r="V395" s="14" t="n">
        <v>22.61</v>
      </c>
      <c r="W395" s="14" t="n">
        <v>231.41</v>
      </c>
      <c r="X395" s="14" t="n">
        <v>302.01</v>
      </c>
      <c r="Y395" s="14" t="n">
        <v>70.6</v>
      </c>
      <c r="Z395" s="14" t="n">
        <v>0.1</v>
      </c>
      <c r="AA395" s="14" t="n">
        <v>0</v>
      </c>
      <c r="AB395" s="14" t="n">
        <v>0</v>
      </c>
      <c r="AC395" s="14" t="n">
        <v>0</v>
      </c>
      <c r="AD395" s="15" t="n">
        <f aca="false">H395*E395/1000</f>
        <v>0</v>
      </c>
      <c r="AE395" s="15" t="n">
        <f aca="false">I395*E395/1000</f>
        <v>0</v>
      </c>
      <c r="AF395" s="16" t="n">
        <f aca="false">ROUND(S395+T395+U395+V395-W395,2)</f>
        <v>0</v>
      </c>
      <c r="AG395" s="16" t="n">
        <f aca="false">ROUND(X395-W395-Y395,2)</f>
        <v>0</v>
      </c>
    </row>
    <row r="396" customFormat="false" ht="15" hidden="false" customHeight="false" outlineLevel="0" collapsed="false">
      <c r="A396" s="13" t="s">
        <v>217</v>
      </c>
      <c r="B396" s="13" t="s">
        <v>297</v>
      </c>
      <c r="C396" s="13" t="s">
        <v>234</v>
      </c>
      <c r="D396" s="13" t="s">
        <v>303</v>
      </c>
      <c r="E396" s="14" t="n">
        <v>36</v>
      </c>
      <c r="F396" s="14" t="n">
        <v>52</v>
      </c>
      <c r="G396" s="14" t="n">
        <v>1.87</v>
      </c>
      <c r="H396" s="14"/>
      <c r="I396" s="14"/>
      <c r="J396" s="14" t="n">
        <v>67.55</v>
      </c>
      <c r="K396" s="14" t="n">
        <v>169.71</v>
      </c>
      <c r="L396" s="14" t="n">
        <v>1.55</v>
      </c>
      <c r="M396" s="14" t="n">
        <v>13.14</v>
      </c>
      <c r="N396" s="14" t="n">
        <v>4.93</v>
      </c>
      <c r="O396" s="14" t="n">
        <v>0.59</v>
      </c>
      <c r="P396" s="14" t="n">
        <v>1</v>
      </c>
      <c r="Q396" s="14"/>
      <c r="R396" s="14" t="n">
        <v>1.4</v>
      </c>
      <c r="S396" s="14" t="n">
        <v>192.32</v>
      </c>
      <c r="T396" s="14" t="n">
        <v>0.9</v>
      </c>
      <c r="U396" s="14" t="n">
        <v>13</v>
      </c>
      <c r="V396" s="14" t="n">
        <v>19.96</v>
      </c>
      <c r="W396" s="14" t="n">
        <v>226.18</v>
      </c>
      <c r="X396" s="14" t="n">
        <v>302.01</v>
      </c>
      <c r="Y396" s="14" t="n">
        <v>75.83</v>
      </c>
      <c r="Z396" s="14" t="n">
        <v>1.42</v>
      </c>
      <c r="AA396" s="14" t="n">
        <v>0</v>
      </c>
      <c r="AB396" s="14" t="n">
        <v>0</v>
      </c>
      <c r="AC396" s="14" t="n">
        <v>0</v>
      </c>
      <c r="AD396" s="15" t="n">
        <f aca="false">H396*E396/1000</f>
        <v>0</v>
      </c>
      <c r="AE396" s="15" t="n">
        <f aca="false">I396*E396/1000</f>
        <v>0</v>
      </c>
      <c r="AF396" s="16" t="n">
        <f aca="false">ROUND(S396+T396+U396+V396-W396,2)</f>
        <v>0</v>
      </c>
      <c r="AG396" s="16" t="n">
        <f aca="false">ROUND(X396-W396-Y396,2)</f>
        <v>0</v>
      </c>
    </row>
    <row r="397" customFormat="false" ht="15" hidden="false" customHeight="false" outlineLevel="0" collapsed="false">
      <c r="A397" s="13" t="s">
        <v>217</v>
      </c>
      <c r="B397" s="13" t="s">
        <v>297</v>
      </c>
      <c r="C397" s="13" t="s">
        <v>234</v>
      </c>
      <c r="D397" s="13" t="s">
        <v>304</v>
      </c>
      <c r="E397" s="14" t="n">
        <v>126.5</v>
      </c>
      <c r="F397" s="14" t="n">
        <v>6</v>
      </c>
      <c r="G397" s="14" t="n">
        <v>0.76</v>
      </c>
      <c r="H397" s="14"/>
      <c r="I397" s="14"/>
      <c r="J397" s="14" t="n">
        <v>76.4</v>
      </c>
      <c r="K397" s="14" t="n">
        <v>168.61</v>
      </c>
      <c r="L397" s="14" t="n">
        <v>1.37</v>
      </c>
      <c r="M397" s="14" t="n">
        <v>9.3</v>
      </c>
      <c r="N397" s="14" t="n">
        <v>4.93</v>
      </c>
      <c r="O397" s="14" t="n">
        <v>0.59</v>
      </c>
      <c r="P397" s="14" t="n">
        <v>1</v>
      </c>
      <c r="Q397" s="14"/>
      <c r="R397" s="14" t="n">
        <v>1.4</v>
      </c>
      <c r="S397" s="14" t="n">
        <v>187.19</v>
      </c>
      <c r="T397" s="14" t="n">
        <v>0.9</v>
      </c>
      <c r="U397" s="14" t="n">
        <v>13</v>
      </c>
      <c r="V397" s="14" t="n">
        <v>18.81</v>
      </c>
      <c r="W397" s="14" t="n">
        <v>219.9</v>
      </c>
      <c r="X397" s="14" t="n">
        <v>302.01</v>
      </c>
      <c r="Y397" s="14" t="n">
        <v>82.11</v>
      </c>
      <c r="Z397" s="14" t="n">
        <v>0.62</v>
      </c>
      <c r="AA397" s="14" t="n">
        <v>0</v>
      </c>
      <c r="AB397" s="14" t="n">
        <v>0</v>
      </c>
      <c r="AC397" s="14" t="n">
        <v>0</v>
      </c>
      <c r="AD397" s="15" t="n">
        <f aca="false">H397*E397/1000</f>
        <v>0</v>
      </c>
      <c r="AE397" s="15" t="n">
        <f aca="false">I397*E397/1000</f>
        <v>0</v>
      </c>
      <c r="AF397" s="16" t="n">
        <f aca="false">ROUND(S397+T397+U397+V397-W397,2)</f>
        <v>0</v>
      </c>
      <c r="AG397" s="16" t="n">
        <f aca="false">ROUND(X397-W397-Y397,2)</f>
        <v>0</v>
      </c>
    </row>
    <row r="398" customFormat="false" ht="15" hidden="false" customHeight="false" outlineLevel="0" collapsed="false">
      <c r="A398" s="13" t="s">
        <v>305</v>
      </c>
      <c r="B398" s="13" t="s">
        <v>218</v>
      </c>
      <c r="C398" s="13" t="s">
        <v>259</v>
      </c>
      <c r="D398" s="13" t="s">
        <v>306</v>
      </c>
      <c r="E398" s="14" t="n">
        <v>14.2</v>
      </c>
      <c r="F398" s="14" t="n">
        <v>15</v>
      </c>
      <c r="G398" s="14" t="n">
        <v>0.21</v>
      </c>
      <c r="H398" s="14"/>
      <c r="I398" s="14"/>
      <c r="J398" s="14" t="n">
        <v>49.02</v>
      </c>
      <c r="K398" s="14" t="n">
        <v>76.46</v>
      </c>
      <c r="L398" s="14" t="n">
        <v>2.69</v>
      </c>
      <c r="M398" s="14" t="n">
        <v>33.63</v>
      </c>
      <c r="N398" s="14" t="n">
        <v>5</v>
      </c>
      <c r="O398" s="14" t="n">
        <v>0.63</v>
      </c>
      <c r="P398" s="14" t="n">
        <v>0</v>
      </c>
      <c r="Q398" s="14"/>
      <c r="R398" s="14" t="n">
        <v>1.1</v>
      </c>
      <c r="S398" s="14" t="n">
        <v>119.51</v>
      </c>
      <c r="T398" s="14" t="n">
        <v>0</v>
      </c>
      <c r="U398" s="14" t="n">
        <v>10.2</v>
      </c>
      <c r="V398" s="14" t="n">
        <v>21.38</v>
      </c>
      <c r="W398" s="14" t="n">
        <v>151.09</v>
      </c>
      <c r="X398" s="14" t="n">
        <v>180</v>
      </c>
      <c r="Y398" s="14" t="n">
        <v>28.91</v>
      </c>
      <c r="Z398" s="14" t="n">
        <v>0.06</v>
      </c>
      <c r="AA398" s="14" t="n">
        <v>0</v>
      </c>
      <c r="AB398" s="14" t="n">
        <v>0</v>
      </c>
      <c r="AC398" s="14" t="n">
        <v>0</v>
      </c>
      <c r="AD398" s="15" t="n">
        <f aca="false">H398*E398/1000</f>
        <v>0</v>
      </c>
      <c r="AE398" s="15" t="n">
        <f aca="false">I398*E398/1000</f>
        <v>0</v>
      </c>
      <c r="AF398" s="16" t="n">
        <f aca="false">ROUND(S398+T398+U398+V398-W398,2)</f>
        <v>0</v>
      </c>
      <c r="AG398" s="16" t="n">
        <f aca="false">ROUND(X398-W398-Y398,2)</f>
        <v>0</v>
      </c>
    </row>
    <row r="399" customFormat="false" ht="15" hidden="false" customHeight="false" outlineLevel="0" collapsed="false">
      <c r="A399" s="13" t="s">
        <v>305</v>
      </c>
      <c r="B399" s="13" t="s">
        <v>256</v>
      </c>
      <c r="C399" s="13" t="s">
        <v>226</v>
      </c>
      <c r="D399" s="13" t="s">
        <v>306</v>
      </c>
      <c r="E399" s="14" t="n">
        <v>19</v>
      </c>
      <c r="F399" s="14" t="n">
        <v>91</v>
      </c>
      <c r="G399" s="14" t="n">
        <v>1.729</v>
      </c>
      <c r="H399" s="14"/>
      <c r="I399" s="14"/>
      <c r="J399" s="14" t="n">
        <v>62.75</v>
      </c>
      <c r="K399" s="14" t="n">
        <v>72.16</v>
      </c>
      <c r="L399" s="14" t="n">
        <v>2.1</v>
      </c>
      <c r="M399" s="14" t="n">
        <v>22.55</v>
      </c>
      <c r="N399" s="14" t="n">
        <v>5</v>
      </c>
      <c r="O399" s="14" t="n">
        <v>0.63</v>
      </c>
      <c r="P399" s="14" t="n">
        <v>0</v>
      </c>
      <c r="Q399" s="14"/>
      <c r="R399" s="14" t="n">
        <v>1.1</v>
      </c>
      <c r="S399" s="14" t="n">
        <v>103.55</v>
      </c>
      <c r="T399" s="14" t="n">
        <v>0</v>
      </c>
      <c r="U399" s="14" t="n">
        <v>8.65</v>
      </c>
      <c r="V399" s="14" t="n">
        <v>16.45</v>
      </c>
      <c r="W399" s="14" t="n">
        <v>128.65</v>
      </c>
      <c r="X399" s="14" t="n">
        <v>185</v>
      </c>
      <c r="Y399" s="14" t="n">
        <v>56.35</v>
      </c>
      <c r="Z399" s="14" t="n">
        <v>0.97</v>
      </c>
      <c r="AA399" s="14" t="n">
        <v>0</v>
      </c>
      <c r="AB399" s="14" t="n">
        <v>0</v>
      </c>
      <c r="AC399" s="14" t="n">
        <v>0</v>
      </c>
      <c r="AD399" s="15" t="n">
        <f aca="false">H399*E399/1000</f>
        <v>0</v>
      </c>
      <c r="AE399" s="15" t="n">
        <f aca="false">I399*E399/1000</f>
        <v>0</v>
      </c>
      <c r="AF399" s="16" t="n">
        <f aca="false">ROUND(S399+T399+U399+V399-W399,2)</f>
        <v>0</v>
      </c>
      <c r="AG399" s="16" t="n">
        <f aca="false">ROUND(X399-W399-Y399,2)</f>
        <v>0</v>
      </c>
    </row>
    <row r="400" customFormat="false" ht="15" hidden="false" customHeight="false" outlineLevel="0" collapsed="false">
      <c r="A400" s="13" t="s">
        <v>305</v>
      </c>
      <c r="B400" s="13" t="s">
        <v>256</v>
      </c>
      <c r="C400" s="13" t="s">
        <v>259</v>
      </c>
      <c r="D400" s="13" t="s">
        <v>307</v>
      </c>
      <c r="E400" s="14" t="n">
        <v>19</v>
      </c>
      <c r="F400" s="14" t="n">
        <v>90</v>
      </c>
      <c r="G400" s="14" t="n">
        <v>1.71</v>
      </c>
      <c r="H400" s="14" t="n">
        <v>57</v>
      </c>
      <c r="I400" s="14"/>
      <c r="J400" s="14" t="n">
        <v>62.75</v>
      </c>
      <c r="K400" s="14" t="n">
        <v>72.33</v>
      </c>
      <c r="L400" s="14" t="n">
        <v>2.1</v>
      </c>
      <c r="M400" s="14" t="n">
        <v>26.24</v>
      </c>
      <c r="N400" s="14" t="n">
        <v>5</v>
      </c>
      <c r="O400" s="14" t="n">
        <v>0.63</v>
      </c>
      <c r="P400" s="14" t="n">
        <v>0</v>
      </c>
      <c r="Q400" s="14"/>
      <c r="R400" s="14" t="n">
        <v>1.1</v>
      </c>
      <c r="S400" s="14" t="n">
        <v>107.41</v>
      </c>
      <c r="T400" s="14" t="n">
        <v>0</v>
      </c>
      <c r="U400" s="14" t="n">
        <v>8.65</v>
      </c>
      <c r="V400" s="14" t="n">
        <v>16.97</v>
      </c>
      <c r="W400" s="14" t="n">
        <v>133.03</v>
      </c>
      <c r="X400" s="14" t="n">
        <v>185</v>
      </c>
      <c r="Y400" s="14" t="n">
        <v>51.97</v>
      </c>
      <c r="Z400" s="14" t="n">
        <v>-0.31</v>
      </c>
      <c r="AA400" s="14" t="n">
        <v>0.63</v>
      </c>
      <c r="AB400" s="14" t="n">
        <v>0</v>
      </c>
      <c r="AC400" s="14" t="n">
        <v>0.56</v>
      </c>
      <c r="AD400" s="15" t="n">
        <f aca="false">H400*E400/1000</f>
        <v>1.083</v>
      </c>
      <c r="AE400" s="15" t="n">
        <f aca="false">I400*E400/1000</f>
        <v>0</v>
      </c>
      <c r="AF400" s="16" t="n">
        <f aca="false">ROUND(S400+T400+U400+V400-W400,2)</f>
        <v>0</v>
      </c>
      <c r="AG400" s="16" t="n">
        <f aca="false">ROUND(X400-W400-Y400,2)</f>
        <v>0</v>
      </c>
    </row>
    <row r="401" customFormat="false" ht="15" hidden="false" customHeight="false" outlineLevel="0" collapsed="false">
      <c r="A401" s="13" t="s">
        <v>305</v>
      </c>
      <c r="B401" s="13" t="s">
        <v>256</v>
      </c>
      <c r="C401" s="13" t="s">
        <v>263</v>
      </c>
      <c r="D401" s="13" t="s">
        <v>307</v>
      </c>
      <c r="E401" s="14" t="n">
        <v>19</v>
      </c>
      <c r="F401" s="14" t="n">
        <v>54</v>
      </c>
      <c r="G401" s="14" t="n">
        <v>1.03</v>
      </c>
      <c r="H401" s="14"/>
      <c r="I401" s="14"/>
      <c r="J401" s="14" t="n">
        <v>62.75</v>
      </c>
      <c r="K401" s="14" t="n">
        <v>70.34</v>
      </c>
      <c r="L401" s="14" t="n">
        <v>2.1</v>
      </c>
      <c r="M401" s="14" t="n">
        <v>23.46</v>
      </c>
      <c r="N401" s="14" t="n">
        <v>5</v>
      </c>
      <c r="O401" s="14"/>
      <c r="P401" s="14" t="n">
        <v>1</v>
      </c>
      <c r="Q401" s="14"/>
      <c r="R401" s="14" t="n">
        <v>1.4</v>
      </c>
      <c r="S401" s="14" t="n">
        <v>103.31</v>
      </c>
      <c r="T401" s="14" t="n">
        <v>0.9</v>
      </c>
      <c r="U401" s="14" t="n">
        <v>8.65</v>
      </c>
      <c r="V401" s="14" t="n">
        <v>16.97</v>
      </c>
      <c r="W401" s="14" t="n">
        <v>129.83</v>
      </c>
      <c r="X401" s="14" t="n">
        <v>182</v>
      </c>
      <c r="Y401" s="14" t="n">
        <v>52.17</v>
      </c>
      <c r="Z401" s="14" t="n">
        <v>0.54</v>
      </c>
      <c r="AA401" s="14" t="n">
        <v>0</v>
      </c>
      <c r="AB401" s="14" t="n">
        <v>0</v>
      </c>
      <c r="AC401" s="14" t="n">
        <v>0</v>
      </c>
      <c r="AD401" s="15" t="n">
        <f aca="false">H401*E401/1000</f>
        <v>0</v>
      </c>
      <c r="AE401" s="15" t="n">
        <f aca="false">I401*E401/1000</f>
        <v>0</v>
      </c>
      <c r="AF401" s="16" t="n">
        <f aca="false">ROUND(S401+T401+U401+V401-W401,2)</f>
        <v>0</v>
      </c>
      <c r="AG401" s="16" t="n">
        <f aca="false">ROUND(X401-W401-Y401,2)</f>
        <v>0</v>
      </c>
    </row>
    <row r="402" customFormat="false" ht="15" hidden="false" customHeight="false" outlineLevel="0" collapsed="false">
      <c r="A402" s="13" t="s">
        <v>305</v>
      </c>
      <c r="B402" s="13" t="s">
        <v>256</v>
      </c>
      <c r="C402" s="13" t="s">
        <v>263</v>
      </c>
      <c r="D402" s="13" t="s">
        <v>308</v>
      </c>
      <c r="E402" s="14" t="n">
        <v>56</v>
      </c>
      <c r="F402" s="14" t="n">
        <v>1</v>
      </c>
      <c r="G402" s="14" t="n">
        <v>0.06</v>
      </c>
      <c r="H402" s="14"/>
      <c r="I402" s="14"/>
      <c r="J402" s="14" t="n">
        <v>69.12</v>
      </c>
      <c r="K402" s="14" t="n">
        <v>69.53</v>
      </c>
      <c r="L402" s="14" t="n">
        <v>1.91</v>
      </c>
      <c r="M402" s="14" t="n">
        <v>10.4</v>
      </c>
      <c r="N402" s="14" t="n">
        <v>5</v>
      </c>
      <c r="O402" s="14"/>
      <c r="P402" s="14" t="n">
        <v>1</v>
      </c>
      <c r="Q402" s="14"/>
      <c r="R402" s="14" t="n">
        <v>1.4</v>
      </c>
      <c r="S402" s="14" t="n">
        <v>89.24</v>
      </c>
      <c r="T402" s="14" t="n">
        <v>0.9</v>
      </c>
      <c r="U402" s="14" t="n">
        <v>8.65</v>
      </c>
      <c r="V402" s="14" t="n">
        <v>16.07</v>
      </c>
      <c r="W402" s="14" t="n">
        <v>114.86</v>
      </c>
      <c r="X402" s="14" t="n">
        <v>180</v>
      </c>
      <c r="Y402" s="14" t="n">
        <v>65.14</v>
      </c>
      <c r="Z402" s="14" t="n">
        <v>0.04</v>
      </c>
      <c r="AA402" s="14" t="n">
        <v>0</v>
      </c>
      <c r="AB402" s="14" t="n">
        <v>0</v>
      </c>
      <c r="AC402" s="14" t="n">
        <v>0</v>
      </c>
      <c r="AD402" s="15" t="n">
        <f aca="false">H402*E402/1000</f>
        <v>0</v>
      </c>
      <c r="AE402" s="15" t="n">
        <f aca="false">I402*E402/1000</f>
        <v>0</v>
      </c>
      <c r="AF402" s="16" t="n">
        <f aca="false">ROUND(S402+T402+U402+V402-W402,2)</f>
        <v>0</v>
      </c>
      <c r="AG402" s="16" t="n">
        <f aca="false">ROUND(X402-W402-Y402,2)</f>
        <v>0</v>
      </c>
    </row>
    <row r="403" customFormat="false" ht="15" hidden="false" customHeight="false" outlineLevel="0" collapsed="false">
      <c r="A403" s="13" t="s">
        <v>305</v>
      </c>
      <c r="B403" s="13" t="s">
        <v>256</v>
      </c>
      <c r="C403" s="13" t="s">
        <v>263</v>
      </c>
      <c r="D403" s="13" t="s">
        <v>309</v>
      </c>
      <c r="E403" s="14" t="n">
        <v>50</v>
      </c>
      <c r="F403" s="14" t="n">
        <v>2</v>
      </c>
      <c r="G403" s="14" t="n">
        <v>0.1</v>
      </c>
      <c r="H403" s="14"/>
      <c r="I403" s="14"/>
      <c r="J403" s="14" t="n">
        <v>69.12</v>
      </c>
      <c r="K403" s="14" t="n">
        <v>69.53</v>
      </c>
      <c r="L403" s="14" t="n">
        <v>1.91</v>
      </c>
      <c r="M403" s="14" t="n">
        <v>10.4</v>
      </c>
      <c r="N403" s="14" t="n">
        <v>5</v>
      </c>
      <c r="O403" s="14"/>
      <c r="P403" s="14" t="n">
        <v>1</v>
      </c>
      <c r="Q403" s="14"/>
      <c r="R403" s="14" t="n">
        <v>1.4</v>
      </c>
      <c r="S403" s="14" t="n">
        <v>89.24</v>
      </c>
      <c r="T403" s="14" t="n">
        <v>0.9</v>
      </c>
      <c r="U403" s="14" t="n">
        <v>8.65</v>
      </c>
      <c r="V403" s="14" t="n">
        <v>16.07</v>
      </c>
      <c r="W403" s="14" t="n">
        <v>114.86</v>
      </c>
      <c r="X403" s="14" t="n">
        <v>180</v>
      </c>
      <c r="Y403" s="14" t="n">
        <v>65.14</v>
      </c>
      <c r="Z403" s="14" t="n">
        <v>0.07</v>
      </c>
      <c r="AA403" s="14" t="n">
        <v>0</v>
      </c>
      <c r="AB403" s="14" t="n">
        <v>0</v>
      </c>
      <c r="AC403" s="14" t="n">
        <v>0</v>
      </c>
      <c r="AD403" s="15" t="n">
        <f aca="false">H403*E403/1000</f>
        <v>0</v>
      </c>
      <c r="AE403" s="15" t="n">
        <f aca="false">I403*E403/1000</f>
        <v>0</v>
      </c>
      <c r="AF403" s="16" t="n">
        <f aca="false">ROUND(S403+T403+U403+V403-W403,2)</f>
        <v>0</v>
      </c>
      <c r="AG403" s="16" t="n">
        <f aca="false">ROUND(X403-W403-Y403,2)</f>
        <v>0</v>
      </c>
    </row>
    <row r="404" customFormat="false" ht="15" hidden="false" customHeight="false" outlineLevel="0" collapsed="false">
      <c r="A404" s="13" t="s">
        <v>305</v>
      </c>
      <c r="B404" s="13" t="s">
        <v>256</v>
      </c>
      <c r="C404" s="13" t="s">
        <v>263</v>
      </c>
      <c r="D404" s="13" t="s">
        <v>310</v>
      </c>
      <c r="E404" s="14" t="n">
        <v>49</v>
      </c>
      <c r="F404" s="14" t="n">
        <v>1</v>
      </c>
      <c r="G404" s="14" t="n">
        <v>0.05</v>
      </c>
      <c r="H404" s="14"/>
      <c r="I404" s="14"/>
      <c r="J404" s="14" t="n">
        <v>69.12</v>
      </c>
      <c r="K404" s="14" t="n">
        <v>69.53</v>
      </c>
      <c r="L404" s="14" t="n">
        <v>1.91</v>
      </c>
      <c r="M404" s="14" t="n">
        <v>10.4</v>
      </c>
      <c r="N404" s="14" t="n">
        <v>5</v>
      </c>
      <c r="O404" s="14"/>
      <c r="P404" s="14" t="n">
        <v>1</v>
      </c>
      <c r="Q404" s="14"/>
      <c r="R404" s="14" t="n">
        <v>1.4</v>
      </c>
      <c r="S404" s="14" t="n">
        <v>89.24</v>
      </c>
      <c r="T404" s="14" t="n">
        <v>0.9</v>
      </c>
      <c r="U404" s="14" t="n">
        <v>8.65</v>
      </c>
      <c r="V404" s="14" t="n">
        <v>16.07</v>
      </c>
      <c r="W404" s="14" t="n">
        <v>114.86</v>
      </c>
      <c r="X404" s="14" t="n">
        <v>180</v>
      </c>
      <c r="Y404" s="14" t="n">
        <v>65.14</v>
      </c>
      <c r="Z404" s="14" t="n">
        <v>0.03</v>
      </c>
      <c r="AA404" s="14" t="n">
        <v>0</v>
      </c>
      <c r="AB404" s="14" t="n">
        <v>0</v>
      </c>
      <c r="AC404" s="14" t="n">
        <v>0</v>
      </c>
      <c r="AD404" s="15" t="n">
        <f aca="false">H404*E404/1000</f>
        <v>0</v>
      </c>
      <c r="AE404" s="15" t="n">
        <f aca="false">I404*E404/1000</f>
        <v>0</v>
      </c>
      <c r="AF404" s="16" t="n">
        <f aca="false">ROUND(S404+T404+U404+V404-W404,2)</f>
        <v>0</v>
      </c>
      <c r="AG404" s="16" t="n">
        <f aca="false">ROUND(X404-W404-Y404,2)</f>
        <v>0</v>
      </c>
    </row>
    <row r="405" customFormat="false" ht="15" hidden="false" customHeight="false" outlineLevel="0" collapsed="false">
      <c r="A405" s="13" t="s">
        <v>305</v>
      </c>
      <c r="B405" s="13" t="s">
        <v>256</v>
      </c>
      <c r="C405" s="13" t="s">
        <v>263</v>
      </c>
      <c r="D405" s="13" t="s">
        <v>311</v>
      </c>
      <c r="E405" s="14" t="n">
        <v>47</v>
      </c>
      <c r="F405" s="14" t="n">
        <v>176</v>
      </c>
      <c r="G405" s="14" t="n">
        <v>8.27</v>
      </c>
      <c r="H405" s="14"/>
      <c r="I405" s="14"/>
      <c r="J405" s="14" t="n">
        <v>68.63</v>
      </c>
      <c r="K405" s="14" t="n">
        <v>69.59</v>
      </c>
      <c r="L405" s="14" t="n">
        <v>1.92</v>
      </c>
      <c r="M405" s="14" t="n">
        <v>10.99</v>
      </c>
      <c r="N405" s="14" t="n">
        <v>5</v>
      </c>
      <c r="O405" s="14"/>
      <c r="P405" s="14" t="n">
        <v>1</v>
      </c>
      <c r="Q405" s="14"/>
      <c r="R405" s="14" t="n">
        <v>1.4</v>
      </c>
      <c r="S405" s="14" t="n">
        <v>89.9</v>
      </c>
      <c r="T405" s="14" t="n">
        <v>0.9</v>
      </c>
      <c r="U405" s="14" t="n">
        <v>8.65</v>
      </c>
      <c r="V405" s="14" t="n">
        <v>16.13</v>
      </c>
      <c r="W405" s="14" t="n">
        <v>115.58</v>
      </c>
      <c r="X405" s="14" t="n">
        <v>180</v>
      </c>
      <c r="Y405" s="14" t="n">
        <v>64.42</v>
      </c>
      <c r="Z405" s="14" t="n">
        <v>5.33</v>
      </c>
      <c r="AA405" s="14" t="n">
        <v>0</v>
      </c>
      <c r="AB405" s="14" t="n">
        <v>0</v>
      </c>
      <c r="AC405" s="14" t="n">
        <v>0</v>
      </c>
      <c r="AD405" s="15" t="n">
        <f aca="false">H405*E405/1000</f>
        <v>0</v>
      </c>
      <c r="AE405" s="15" t="n">
        <f aca="false">I405*E405/1000</f>
        <v>0</v>
      </c>
      <c r="AF405" s="16" t="n">
        <f aca="false">ROUND(S405+T405+U405+V405-W405,2)</f>
        <v>0</v>
      </c>
      <c r="AG405" s="16" t="n">
        <f aca="false">ROUND(X405-W405-Y405,2)</f>
        <v>0</v>
      </c>
    </row>
    <row r="406" customFormat="false" ht="15" hidden="false" customHeight="false" outlineLevel="0" collapsed="false">
      <c r="A406" s="13" t="s">
        <v>305</v>
      </c>
      <c r="B406" s="13" t="s">
        <v>256</v>
      </c>
      <c r="C406" s="13" t="s">
        <v>263</v>
      </c>
      <c r="D406" s="13" t="s">
        <v>312</v>
      </c>
      <c r="E406" s="14" t="n">
        <v>44</v>
      </c>
      <c r="F406" s="14" t="n">
        <v>4</v>
      </c>
      <c r="G406" s="14" t="n">
        <v>0.18</v>
      </c>
      <c r="H406" s="14"/>
      <c r="I406" s="14"/>
      <c r="J406" s="14" t="n">
        <v>39.22</v>
      </c>
      <c r="K406" s="14" t="n">
        <v>75.64</v>
      </c>
      <c r="L406" s="14" t="n">
        <v>3.37</v>
      </c>
      <c r="M406" s="14" t="n">
        <v>13.94</v>
      </c>
      <c r="N406" s="14" t="n">
        <v>5</v>
      </c>
      <c r="O406" s="14"/>
      <c r="P406" s="14" t="n">
        <v>1</v>
      </c>
      <c r="Q406" s="14"/>
      <c r="R406" s="14" t="n">
        <v>1.4</v>
      </c>
      <c r="S406" s="14" t="n">
        <v>100.34</v>
      </c>
      <c r="T406" s="14" t="n">
        <v>0.9</v>
      </c>
      <c r="U406" s="14" t="n">
        <v>8.65</v>
      </c>
      <c r="V406" s="14" t="n">
        <v>22.87</v>
      </c>
      <c r="W406" s="14" t="n">
        <v>132.76</v>
      </c>
      <c r="X406" s="14" t="n">
        <v>180</v>
      </c>
      <c r="Y406" s="14" t="n">
        <v>47.24</v>
      </c>
      <c r="Z406" s="14" t="n">
        <v>0.08</v>
      </c>
      <c r="AA406" s="14" t="n">
        <v>0</v>
      </c>
      <c r="AB406" s="14" t="n">
        <v>0</v>
      </c>
      <c r="AC406" s="14" t="n">
        <v>0</v>
      </c>
      <c r="AD406" s="15" t="n">
        <f aca="false">H406*E406/1000</f>
        <v>0</v>
      </c>
      <c r="AE406" s="15" t="n">
        <f aca="false">I406*E406/1000</f>
        <v>0</v>
      </c>
      <c r="AF406" s="16" t="n">
        <f aca="false">ROUND(S406+T406+U406+V406-W406,2)</f>
        <v>0</v>
      </c>
      <c r="AG406" s="16" t="n">
        <f aca="false">ROUND(X406-W406-Y406,2)</f>
        <v>0</v>
      </c>
    </row>
    <row r="407" customFormat="false" ht="15" hidden="false" customHeight="false" outlineLevel="0" collapsed="false">
      <c r="A407" s="13" t="s">
        <v>305</v>
      </c>
      <c r="B407" s="13" t="s">
        <v>256</v>
      </c>
      <c r="C407" s="13" t="s">
        <v>229</v>
      </c>
      <c r="D407" s="13" t="s">
        <v>308</v>
      </c>
      <c r="E407" s="14" t="n">
        <v>56</v>
      </c>
      <c r="F407" s="14" t="n">
        <v>93</v>
      </c>
      <c r="G407" s="14" t="n">
        <v>5.21</v>
      </c>
      <c r="H407" s="14" t="n">
        <v>2</v>
      </c>
      <c r="I407" s="14"/>
      <c r="J407" s="14" t="n">
        <v>69.12</v>
      </c>
      <c r="K407" s="14" t="n">
        <v>64.3</v>
      </c>
      <c r="L407" s="14" t="n">
        <v>2.43</v>
      </c>
      <c r="M407" s="14" t="n">
        <v>10.85</v>
      </c>
      <c r="N407" s="14" t="n">
        <v>5</v>
      </c>
      <c r="O407" s="14"/>
      <c r="P407" s="14" t="n">
        <v>1</v>
      </c>
      <c r="Q407" s="14"/>
      <c r="R407" s="14" t="n">
        <v>1.4</v>
      </c>
      <c r="S407" s="14" t="n">
        <v>84.98</v>
      </c>
      <c r="T407" s="14" t="n">
        <v>0.9</v>
      </c>
      <c r="U407" s="14" t="n">
        <v>8.65</v>
      </c>
      <c r="V407" s="14" t="n">
        <v>16.07</v>
      </c>
      <c r="W407" s="14" t="n">
        <v>110.6</v>
      </c>
      <c r="X407" s="14" t="n">
        <v>180</v>
      </c>
      <c r="Y407" s="14" t="n">
        <v>69.4</v>
      </c>
      <c r="Z407" s="14" t="n">
        <v>3.49</v>
      </c>
      <c r="AA407" s="14" t="n">
        <v>0.05</v>
      </c>
      <c r="AB407" s="14" t="n">
        <v>0</v>
      </c>
      <c r="AC407" s="14" t="n">
        <v>0.08</v>
      </c>
      <c r="AD407" s="15" t="n">
        <f aca="false">H407*E407/1000</f>
        <v>0.112</v>
      </c>
      <c r="AE407" s="15" t="n">
        <f aca="false">I407*E407/1000</f>
        <v>0</v>
      </c>
      <c r="AF407" s="16" t="n">
        <f aca="false">ROUND(S407+T407+U407+V407-W407,2)</f>
        <v>0</v>
      </c>
      <c r="AG407" s="16" t="n">
        <f aca="false">ROUND(X407-W407-Y407,2)</f>
        <v>0</v>
      </c>
    </row>
    <row r="408" customFormat="false" ht="15" hidden="false" customHeight="false" outlineLevel="0" collapsed="false">
      <c r="A408" s="13" t="s">
        <v>305</v>
      </c>
      <c r="B408" s="13" t="s">
        <v>256</v>
      </c>
      <c r="C408" s="13" t="s">
        <v>229</v>
      </c>
      <c r="D408" s="13" t="s">
        <v>309</v>
      </c>
      <c r="E408" s="14" t="n">
        <v>50</v>
      </c>
      <c r="F408" s="14" t="n">
        <v>93</v>
      </c>
      <c r="G408" s="14" t="n">
        <v>4.65</v>
      </c>
      <c r="H408" s="14" t="n">
        <v>12</v>
      </c>
      <c r="I408" s="14"/>
      <c r="J408" s="14" t="n">
        <v>69.12</v>
      </c>
      <c r="K408" s="14" t="n">
        <v>64.3</v>
      </c>
      <c r="L408" s="14" t="n">
        <v>2.43</v>
      </c>
      <c r="M408" s="14" t="n">
        <v>10.85</v>
      </c>
      <c r="N408" s="14" t="n">
        <v>5</v>
      </c>
      <c r="O408" s="14"/>
      <c r="P408" s="14" t="n">
        <v>1</v>
      </c>
      <c r="Q408" s="14"/>
      <c r="R408" s="14" t="n">
        <v>1.4</v>
      </c>
      <c r="S408" s="14" t="n">
        <v>84.98</v>
      </c>
      <c r="T408" s="14" t="n">
        <v>0.9</v>
      </c>
      <c r="U408" s="14" t="n">
        <v>8.65</v>
      </c>
      <c r="V408" s="14" t="n">
        <v>16.07</v>
      </c>
      <c r="W408" s="14" t="n">
        <v>110.6</v>
      </c>
      <c r="X408" s="14" t="n">
        <v>180</v>
      </c>
      <c r="Y408" s="14" t="n">
        <v>69.4</v>
      </c>
      <c r="Z408" s="14" t="n">
        <v>2.57</v>
      </c>
      <c r="AA408" s="14" t="n">
        <v>0.25</v>
      </c>
      <c r="AB408" s="14" t="n">
        <v>0</v>
      </c>
      <c r="AC408" s="14" t="n">
        <v>0.42</v>
      </c>
      <c r="AD408" s="15" t="n">
        <f aca="false">H408*E408/1000</f>
        <v>0.6</v>
      </c>
      <c r="AE408" s="15" t="n">
        <f aca="false">I408*E408/1000</f>
        <v>0</v>
      </c>
      <c r="AF408" s="16" t="n">
        <f aca="false">ROUND(S408+T408+U408+V408-W408,2)</f>
        <v>0</v>
      </c>
      <c r="AG408" s="16" t="n">
        <f aca="false">ROUND(X408-W408-Y408,2)</f>
        <v>0</v>
      </c>
    </row>
    <row r="409" customFormat="false" ht="15" hidden="false" customHeight="false" outlineLevel="0" collapsed="false">
      <c r="A409" s="13" t="s">
        <v>305</v>
      </c>
      <c r="B409" s="13" t="s">
        <v>256</v>
      </c>
      <c r="C409" s="13" t="s">
        <v>229</v>
      </c>
      <c r="D409" s="13" t="s">
        <v>310</v>
      </c>
      <c r="E409" s="14" t="n">
        <v>49</v>
      </c>
      <c r="F409" s="14" t="n">
        <v>186</v>
      </c>
      <c r="G409" s="14" t="n">
        <v>9.11</v>
      </c>
      <c r="H409" s="14"/>
      <c r="I409" s="14"/>
      <c r="J409" s="14" t="n">
        <v>69.12</v>
      </c>
      <c r="K409" s="14" t="n">
        <v>64.3</v>
      </c>
      <c r="L409" s="14" t="n">
        <v>2.43</v>
      </c>
      <c r="M409" s="14" t="n">
        <v>10.85</v>
      </c>
      <c r="N409" s="14" t="n">
        <v>5</v>
      </c>
      <c r="O409" s="14"/>
      <c r="P409" s="14" t="n">
        <v>1</v>
      </c>
      <c r="Q409" s="14"/>
      <c r="R409" s="14" t="n">
        <v>1.4</v>
      </c>
      <c r="S409" s="14" t="n">
        <v>84.98</v>
      </c>
      <c r="T409" s="14" t="n">
        <v>0.9</v>
      </c>
      <c r="U409" s="14" t="n">
        <v>8.65</v>
      </c>
      <c r="V409" s="14" t="n">
        <v>16.07</v>
      </c>
      <c r="W409" s="14" t="n">
        <v>110.6</v>
      </c>
      <c r="X409" s="14" t="n">
        <v>180</v>
      </c>
      <c r="Y409" s="14" t="n">
        <v>69.4</v>
      </c>
      <c r="Z409" s="14" t="n">
        <v>6.33</v>
      </c>
      <c r="AA409" s="14" t="n">
        <v>0</v>
      </c>
      <c r="AB409" s="14" t="n">
        <v>0</v>
      </c>
      <c r="AC409" s="14" t="n">
        <v>0</v>
      </c>
      <c r="AD409" s="15" t="n">
        <f aca="false">H409*E409/1000</f>
        <v>0</v>
      </c>
      <c r="AE409" s="15" t="n">
        <f aca="false">I409*E409/1000</f>
        <v>0</v>
      </c>
      <c r="AF409" s="16" t="n">
        <f aca="false">ROUND(S409+T409+U409+V409-W409,2)</f>
        <v>0</v>
      </c>
      <c r="AG409" s="16" t="n">
        <f aca="false">ROUND(X409-W409-Y409,2)</f>
        <v>0</v>
      </c>
    </row>
    <row r="410" customFormat="false" ht="15" hidden="false" customHeight="false" outlineLevel="0" collapsed="false">
      <c r="A410" s="13" t="s">
        <v>305</v>
      </c>
      <c r="B410" s="13" t="s">
        <v>256</v>
      </c>
      <c r="C410" s="13" t="s">
        <v>229</v>
      </c>
      <c r="D410" s="13" t="s">
        <v>311</v>
      </c>
      <c r="E410" s="14" t="n">
        <v>47</v>
      </c>
      <c r="F410" s="14" t="n">
        <v>596</v>
      </c>
      <c r="G410" s="14" t="n">
        <v>28.01</v>
      </c>
      <c r="H410" s="14" t="n">
        <v>15</v>
      </c>
      <c r="I410" s="14"/>
      <c r="J410" s="14" t="n">
        <v>68.63</v>
      </c>
      <c r="K410" s="14" t="n">
        <v>64.35</v>
      </c>
      <c r="L410" s="14" t="n">
        <v>2.45</v>
      </c>
      <c r="M410" s="14" t="n">
        <v>11.45</v>
      </c>
      <c r="N410" s="14" t="n">
        <v>5</v>
      </c>
      <c r="O410" s="14"/>
      <c r="P410" s="14" t="n">
        <v>1</v>
      </c>
      <c r="Q410" s="14"/>
      <c r="R410" s="14" t="n">
        <v>1.4</v>
      </c>
      <c r="S410" s="14" t="n">
        <v>85.66</v>
      </c>
      <c r="T410" s="14" t="n">
        <v>0.9</v>
      </c>
      <c r="U410" s="14" t="n">
        <v>8.65</v>
      </c>
      <c r="V410" s="14" t="n">
        <v>16.13</v>
      </c>
      <c r="W410" s="14" t="n">
        <v>111.34</v>
      </c>
      <c r="X410" s="14" t="n">
        <v>180</v>
      </c>
      <c r="Y410" s="14" t="n">
        <v>68.66</v>
      </c>
      <c r="Z410" s="14" t="n">
        <v>18.46</v>
      </c>
      <c r="AA410" s="14" t="n">
        <v>0.29</v>
      </c>
      <c r="AB410" s="14" t="n">
        <v>0</v>
      </c>
      <c r="AC410" s="14" t="n">
        <v>0.48</v>
      </c>
      <c r="AD410" s="15" t="n">
        <f aca="false">H410*E410/1000</f>
        <v>0.705</v>
      </c>
      <c r="AE410" s="15" t="n">
        <f aca="false">I410*E410/1000</f>
        <v>0</v>
      </c>
      <c r="AF410" s="16" t="n">
        <f aca="false">ROUND(S410+T410+U410+V410-W410,2)</f>
        <v>0</v>
      </c>
      <c r="AG410" s="16" t="n">
        <f aca="false">ROUND(X410-W410-Y410,2)</f>
        <v>0</v>
      </c>
    </row>
    <row r="411" customFormat="false" ht="15" hidden="false" customHeight="false" outlineLevel="0" collapsed="false">
      <c r="A411" s="13" t="s">
        <v>305</v>
      </c>
      <c r="B411" s="13" t="s">
        <v>256</v>
      </c>
      <c r="C411" s="13" t="s">
        <v>229</v>
      </c>
      <c r="D411" s="13" t="s">
        <v>312</v>
      </c>
      <c r="E411" s="14" t="n">
        <v>44</v>
      </c>
      <c r="F411" s="14" t="n">
        <v>10</v>
      </c>
      <c r="G411" s="14" t="n">
        <v>0.44</v>
      </c>
      <c r="H411" s="14" t="n">
        <v>2</v>
      </c>
      <c r="I411" s="14"/>
      <c r="J411" s="14" t="n">
        <v>39.22</v>
      </c>
      <c r="K411" s="14" t="n">
        <v>69.95</v>
      </c>
      <c r="L411" s="14" t="n">
        <v>4.29</v>
      </c>
      <c r="M411" s="14" t="n">
        <v>14.62</v>
      </c>
      <c r="N411" s="14" t="n">
        <v>5</v>
      </c>
      <c r="O411" s="14"/>
      <c r="P411" s="14" t="n">
        <v>1</v>
      </c>
      <c r="Q411" s="14"/>
      <c r="R411" s="14" t="n">
        <v>1.4</v>
      </c>
      <c r="S411" s="14" t="n">
        <v>96.25</v>
      </c>
      <c r="T411" s="14" t="n">
        <v>0.9</v>
      </c>
      <c r="U411" s="14" t="n">
        <v>8.65</v>
      </c>
      <c r="V411" s="14" t="n">
        <v>22.87</v>
      </c>
      <c r="W411" s="14" t="n">
        <v>128.67</v>
      </c>
      <c r="X411" s="14" t="n">
        <v>180</v>
      </c>
      <c r="Y411" s="14" t="n">
        <v>51.33</v>
      </c>
      <c r="Z411" s="14" t="n">
        <v>0.13</v>
      </c>
      <c r="AA411" s="14" t="n">
        <v>0.05</v>
      </c>
      <c r="AB411" s="14" t="n">
        <v>0</v>
      </c>
      <c r="AC411" s="14" t="n">
        <v>0.05</v>
      </c>
      <c r="AD411" s="15" t="n">
        <f aca="false">H411*E411/1000</f>
        <v>0.088</v>
      </c>
      <c r="AE411" s="15" t="n">
        <f aca="false">I411*E411/1000</f>
        <v>0</v>
      </c>
      <c r="AF411" s="16" t="n">
        <f aca="false">ROUND(S411+T411+U411+V411-W411,2)</f>
        <v>0</v>
      </c>
      <c r="AG411" s="16" t="n">
        <f aca="false">ROUND(X411-W411-Y411,2)</f>
        <v>0</v>
      </c>
    </row>
    <row r="412" customFormat="false" ht="15" hidden="false" customHeight="false" outlineLevel="0" collapsed="false">
      <c r="A412" s="13" t="s">
        <v>305</v>
      </c>
      <c r="B412" s="13" t="s">
        <v>256</v>
      </c>
      <c r="C412" s="13" t="s">
        <v>234</v>
      </c>
      <c r="D412" s="13" t="s">
        <v>308</v>
      </c>
      <c r="E412" s="14" t="n">
        <v>56</v>
      </c>
      <c r="F412" s="14" t="n">
        <v>76</v>
      </c>
      <c r="G412" s="14" t="n">
        <v>4.26</v>
      </c>
      <c r="H412" s="14" t="n">
        <v>1</v>
      </c>
      <c r="I412" s="14"/>
      <c r="J412" s="14" t="n">
        <v>69.12</v>
      </c>
      <c r="K412" s="14" t="n">
        <v>61.83</v>
      </c>
      <c r="L412" s="14" t="n">
        <v>2.43</v>
      </c>
      <c r="M412" s="14" t="n">
        <v>12.3</v>
      </c>
      <c r="N412" s="14" t="n">
        <v>7.83</v>
      </c>
      <c r="O412" s="14"/>
      <c r="P412" s="14" t="n">
        <v>1</v>
      </c>
      <c r="Q412" s="14"/>
      <c r="R412" s="14" t="n">
        <v>1.4</v>
      </c>
      <c r="S412" s="14" t="n">
        <v>86.79</v>
      </c>
      <c r="T412" s="14" t="n">
        <v>0.9</v>
      </c>
      <c r="U412" s="14" t="n">
        <v>10.86</v>
      </c>
      <c r="V412" s="14" t="n">
        <v>17.61</v>
      </c>
      <c r="W412" s="14" t="n">
        <v>116.17</v>
      </c>
      <c r="X412" s="14" t="n">
        <v>180</v>
      </c>
      <c r="Y412" s="14" t="n">
        <v>63.83</v>
      </c>
      <c r="Z412" s="14" t="n">
        <v>2.65</v>
      </c>
      <c r="AA412" s="14" t="n">
        <v>0.03</v>
      </c>
      <c r="AB412" s="14" t="n">
        <v>0</v>
      </c>
      <c r="AC412" s="14" t="n">
        <v>0.04</v>
      </c>
      <c r="AD412" s="15" t="n">
        <f aca="false">H412*E412/1000</f>
        <v>0.056</v>
      </c>
      <c r="AE412" s="15" t="n">
        <f aca="false">I412*E412/1000</f>
        <v>0</v>
      </c>
      <c r="AF412" s="16" t="n">
        <f aca="false">ROUND(S412+T412+U412+V412-W412,2)</f>
        <v>-0.01</v>
      </c>
      <c r="AG412" s="16" t="n">
        <f aca="false">ROUND(X412-W412-Y412,2)</f>
        <v>0</v>
      </c>
    </row>
    <row r="413" customFormat="false" ht="15" hidden="false" customHeight="false" outlineLevel="0" collapsed="false">
      <c r="A413" s="13" t="s">
        <v>305</v>
      </c>
      <c r="B413" s="13" t="s">
        <v>256</v>
      </c>
      <c r="C413" s="13" t="s">
        <v>234</v>
      </c>
      <c r="D413" s="13" t="s">
        <v>309</v>
      </c>
      <c r="E413" s="14" t="n">
        <v>50</v>
      </c>
      <c r="F413" s="14" t="n">
        <v>21</v>
      </c>
      <c r="G413" s="14" t="n">
        <v>1.05</v>
      </c>
      <c r="H413" s="14"/>
      <c r="I413" s="14"/>
      <c r="J413" s="14" t="n">
        <v>69.12</v>
      </c>
      <c r="K413" s="14" t="n">
        <v>61.83</v>
      </c>
      <c r="L413" s="14" t="n">
        <v>2.43</v>
      </c>
      <c r="M413" s="14" t="n">
        <v>12.3</v>
      </c>
      <c r="N413" s="14" t="n">
        <v>7.83</v>
      </c>
      <c r="O413" s="14"/>
      <c r="P413" s="14" t="n">
        <v>1</v>
      </c>
      <c r="Q413" s="14"/>
      <c r="R413" s="14" t="n">
        <v>1.4</v>
      </c>
      <c r="S413" s="14" t="n">
        <v>86.79</v>
      </c>
      <c r="T413" s="14" t="n">
        <v>0.9</v>
      </c>
      <c r="U413" s="14" t="n">
        <v>10.86</v>
      </c>
      <c r="V413" s="14" t="n">
        <v>17.61</v>
      </c>
      <c r="W413" s="14" t="n">
        <v>116.17</v>
      </c>
      <c r="X413" s="14" t="n">
        <v>180</v>
      </c>
      <c r="Y413" s="14" t="n">
        <v>63.83</v>
      </c>
      <c r="Z413" s="14" t="n">
        <v>0.67</v>
      </c>
      <c r="AA413" s="14" t="n">
        <v>0</v>
      </c>
      <c r="AB413" s="14" t="n">
        <v>0</v>
      </c>
      <c r="AC413" s="14" t="n">
        <v>0</v>
      </c>
      <c r="AD413" s="15" t="n">
        <f aca="false">H413*E413/1000</f>
        <v>0</v>
      </c>
      <c r="AE413" s="15" t="n">
        <f aca="false">I413*E413/1000</f>
        <v>0</v>
      </c>
      <c r="AF413" s="16" t="n">
        <f aca="false">ROUND(S413+T413+U413+V413-W413,2)</f>
        <v>-0.01</v>
      </c>
      <c r="AG413" s="16" t="n">
        <f aca="false">ROUND(X413-W413-Y413,2)</f>
        <v>0</v>
      </c>
    </row>
    <row r="414" customFormat="false" ht="15" hidden="false" customHeight="false" outlineLevel="0" collapsed="false">
      <c r="A414" s="13" t="s">
        <v>305</v>
      </c>
      <c r="B414" s="13" t="s">
        <v>256</v>
      </c>
      <c r="C414" s="13" t="s">
        <v>234</v>
      </c>
      <c r="D414" s="13" t="s">
        <v>310</v>
      </c>
      <c r="E414" s="14" t="n">
        <v>49</v>
      </c>
      <c r="F414" s="14" t="n">
        <v>79</v>
      </c>
      <c r="G414" s="14" t="n">
        <v>3.87</v>
      </c>
      <c r="H414" s="14"/>
      <c r="I414" s="14"/>
      <c r="J414" s="14" t="n">
        <v>69.12</v>
      </c>
      <c r="K414" s="14" t="n">
        <v>61.83</v>
      </c>
      <c r="L414" s="14" t="n">
        <v>2.43</v>
      </c>
      <c r="M414" s="14" t="n">
        <v>12.3</v>
      </c>
      <c r="N414" s="14" t="n">
        <v>7.83</v>
      </c>
      <c r="O414" s="14"/>
      <c r="P414" s="14" t="n">
        <v>1</v>
      </c>
      <c r="Q414" s="14"/>
      <c r="R414" s="14" t="n">
        <v>1.4</v>
      </c>
      <c r="S414" s="14" t="n">
        <v>86.79</v>
      </c>
      <c r="T414" s="14" t="n">
        <v>0.9</v>
      </c>
      <c r="U414" s="14" t="n">
        <v>10.86</v>
      </c>
      <c r="V414" s="14" t="n">
        <v>17.61</v>
      </c>
      <c r="W414" s="14" t="n">
        <v>116.17</v>
      </c>
      <c r="X414" s="14" t="n">
        <v>180</v>
      </c>
      <c r="Y414" s="14" t="n">
        <v>63.83</v>
      </c>
      <c r="Z414" s="14" t="n">
        <v>2.47</v>
      </c>
      <c r="AA414" s="14" t="n">
        <v>0</v>
      </c>
      <c r="AB414" s="14" t="n">
        <v>0</v>
      </c>
      <c r="AC414" s="14" t="n">
        <v>0</v>
      </c>
      <c r="AD414" s="15" t="n">
        <f aca="false">H414*E414/1000</f>
        <v>0</v>
      </c>
      <c r="AE414" s="15" t="n">
        <f aca="false">I414*E414/1000</f>
        <v>0</v>
      </c>
      <c r="AF414" s="16" t="n">
        <f aca="false">ROUND(S414+T414+U414+V414-W414,2)</f>
        <v>-0.01</v>
      </c>
      <c r="AG414" s="16" t="n">
        <f aca="false">ROUND(X414-W414-Y414,2)</f>
        <v>0</v>
      </c>
    </row>
    <row r="415" customFormat="false" ht="15" hidden="false" customHeight="false" outlineLevel="0" collapsed="false">
      <c r="A415" s="13" t="s">
        <v>305</v>
      </c>
      <c r="B415" s="13" t="s">
        <v>256</v>
      </c>
      <c r="C415" s="13" t="s">
        <v>234</v>
      </c>
      <c r="D415" s="13" t="s">
        <v>311</v>
      </c>
      <c r="E415" s="14" t="n">
        <v>46</v>
      </c>
      <c r="F415" s="14" t="n">
        <v>102</v>
      </c>
      <c r="G415" s="14" t="n">
        <v>4.69</v>
      </c>
      <c r="H415" s="14" t="n">
        <v>4</v>
      </c>
      <c r="I415" s="14"/>
      <c r="J415" s="14" t="n">
        <v>68.63</v>
      </c>
      <c r="K415" s="14" t="n">
        <v>61.88</v>
      </c>
      <c r="L415" s="14" t="n">
        <v>2.45</v>
      </c>
      <c r="M415" s="14" t="n">
        <v>13.2</v>
      </c>
      <c r="N415" s="14" t="n">
        <v>7.83</v>
      </c>
      <c r="O415" s="14"/>
      <c r="P415" s="14" t="n">
        <v>1</v>
      </c>
      <c r="Q415" s="14"/>
      <c r="R415" s="14" t="n">
        <v>1.4</v>
      </c>
      <c r="S415" s="14" t="n">
        <v>87.76</v>
      </c>
      <c r="T415" s="14" t="n">
        <v>0.9</v>
      </c>
      <c r="U415" s="14" t="n">
        <v>10.86</v>
      </c>
      <c r="V415" s="14" t="n">
        <v>17.68</v>
      </c>
      <c r="W415" s="14" t="n">
        <v>117.2</v>
      </c>
      <c r="X415" s="14" t="n">
        <v>180</v>
      </c>
      <c r="Y415" s="14" t="n">
        <v>62.8</v>
      </c>
      <c r="Z415" s="14" t="n">
        <v>2.74</v>
      </c>
      <c r="AA415" s="14" t="n">
        <v>0.09</v>
      </c>
      <c r="AB415" s="14" t="n">
        <v>0</v>
      </c>
      <c r="AC415" s="14" t="n">
        <v>0.12</v>
      </c>
      <c r="AD415" s="15" t="n">
        <f aca="false">H415*E415/1000</f>
        <v>0.184</v>
      </c>
      <c r="AE415" s="15" t="n">
        <f aca="false">I415*E415/1000</f>
        <v>0</v>
      </c>
      <c r="AF415" s="16" t="n">
        <f aca="false">ROUND(S415+T415+U415+V415-W415,2)</f>
        <v>0</v>
      </c>
      <c r="AG415" s="16" t="n">
        <f aca="false">ROUND(X415-W415-Y415,2)</f>
        <v>0</v>
      </c>
    </row>
    <row r="416" customFormat="false" ht="15" hidden="false" customHeight="false" outlineLevel="0" collapsed="false">
      <c r="A416" s="13" t="s">
        <v>305</v>
      </c>
      <c r="B416" s="13" t="s">
        <v>256</v>
      </c>
      <c r="C416" s="13" t="s">
        <v>234</v>
      </c>
      <c r="D416" s="13" t="s">
        <v>312</v>
      </c>
      <c r="E416" s="14" t="n">
        <v>44</v>
      </c>
      <c r="F416" s="14" t="n">
        <v>2</v>
      </c>
      <c r="G416" s="14" t="n">
        <v>0.09</v>
      </c>
      <c r="H416" s="14"/>
      <c r="I416" s="14"/>
      <c r="J416" s="14" t="n">
        <v>39.22</v>
      </c>
      <c r="K416" s="14" t="n">
        <v>67.27</v>
      </c>
      <c r="L416" s="14" t="n">
        <v>4.29</v>
      </c>
      <c r="M416" s="14" t="n">
        <v>16.81</v>
      </c>
      <c r="N416" s="14" t="n">
        <v>7.83</v>
      </c>
      <c r="O416" s="14"/>
      <c r="P416" s="14" t="n">
        <v>1</v>
      </c>
      <c r="Q416" s="14"/>
      <c r="R416" s="14" t="n">
        <v>1.4</v>
      </c>
      <c r="S416" s="14" t="n">
        <v>98.6</v>
      </c>
      <c r="T416" s="14" t="n">
        <v>0.9</v>
      </c>
      <c r="U416" s="14" t="n">
        <v>10.86</v>
      </c>
      <c r="V416" s="14" t="n">
        <v>25.07</v>
      </c>
      <c r="W416" s="14" t="n">
        <v>135.43</v>
      </c>
      <c r="X416" s="14" t="n">
        <v>180</v>
      </c>
      <c r="Y416" s="14" t="n">
        <v>44.57</v>
      </c>
      <c r="Z416" s="14" t="n">
        <v>0.04</v>
      </c>
      <c r="AA416" s="14" t="n">
        <v>0</v>
      </c>
      <c r="AB416" s="14" t="n">
        <v>0</v>
      </c>
      <c r="AC416" s="14" t="n">
        <v>0</v>
      </c>
      <c r="AD416" s="15" t="n">
        <f aca="false">H416*E416/1000</f>
        <v>0</v>
      </c>
      <c r="AE416" s="15" t="n">
        <f aca="false">I416*E416/1000</f>
        <v>0</v>
      </c>
      <c r="AF416" s="16" t="n">
        <f aca="false">ROUND(S416+T416+U416+V416-W416,2)</f>
        <v>0</v>
      </c>
      <c r="AG416" s="16" t="n">
        <f aca="false">ROUND(X416-W416-Y416,2)</f>
        <v>0</v>
      </c>
    </row>
    <row r="417" customFormat="false" ht="15" hidden="false" customHeight="false" outlineLevel="0" collapsed="false">
      <c r="A417" s="13" t="s">
        <v>305</v>
      </c>
      <c r="B417" s="13" t="s">
        <v>256</v>
      </c>
      <c r="C417" s="13" t="s">
        <v>269</v>
      </c>
      <c r="D417" s="13" t="s">
        <v>313</v>
      </c>
      <c r="E417" s="14" t="n">
        <v>154</v>
      </c>
      <c r="F417" s="14" t="n">
        <v>1</v>
      </c>
      <c r="G417" s="14" t="n">
        <v>0.15</v>
      </c>
      <c r="H417" s="14"/>
      <c r="I417" s="14"/>
      <c r="J417" s="14" t="n">
        <v>40.7</v>
      </c>
      <c r="K417" s="14" t="n">
        <v>173.9</v>
      </c>
      <c r="L417" s="14" t="n">
        <v>2.8</v>
      </c>
      <c r="M417" s="14" t="n">
        <v>51.96</v>
      </c>
      <c r="N417" s="14" t="n">
        <v>4.76</v>
      </c>
      <c r="O417" s="14"/>
      <c r="P417" s="14" t="n">
        <v>1</v>
      </c>
      <c r="Q417" s="14"/>
      <c r="R417" s="14"/>
      <c r="S417" s="14" t="n">
        <v>234.42</v>
      </c>
      <c r="T417" s="14" t="n">
        <v>0</v>
      </c>
      <c r="U417" s="14" t="n">
        <v>10.86</v>
      </c>
      <c r="V417" s="14" t="n">
        <v>19.73</v>
      </c>
      <c r="W417" s="14" t="n">
        <v>265.01</v>
      </c>
      <c r="X417" s="14" t="n">
        <v>336</v>
      </c>
      <c r="Y417" s="14" t="n">
        <v>70.99</v>
      </c>
      <c r="Z417" s="14" t="n">
        <v>0.11</v>
      </c>
      <c r="AA417" s="14" t="n">
        <v>0</v>
      </c>
      <c r="AB417" s="14" t="n">
        <v>0</v>
      </c>
      <c r="AC417" s="14" t="n">
        <v>0</v>
      </c>
      <c r="AD417" s="15" t="n">
        <f aca="false">H417*E417/1000</f>
        <v>0</v>
      </c>
      <c r="AE417" s="15" t="n">
        <f aca="false">I417*E417/1000</f>
        <v>0</v>
      </c>
      <c r="AF417" s="16" t="n">
        <f aca="false">ROUND(S417+T417+U417+V417-W417,2)</f>
        <v>0</v>
      </c>
      <c r="AG417" s="16" t="n">
        <f aca="false">ROUND(X417-W417-Y417,2)</f>
        <v>0</v>
      </c>
    </row>
    <row r="418" customFormat="false" ht="15" hidden="false" customHeight="false" outlineLevel="0" collapsed="false">
      <c r="A418" s="13" t="s">
        <v>305</v>
      </c>
      <c r="B418" s="13" t="s">
        <v>256</v>
      </c>
      <c r="C418" s="13" t="s">
        <v>269</v>
      </c>
      <c r="D418" s="13" t="s">
        <v>314</v>
      </c>
      <c r="E418" s="14" t="n">
        <v>70</v>
      </c>
      <c r="F418" s="14" t="n">
        <v>2</v>
      </c>
      <c r="G418" s="14" t="n">
        <v>0.14</v>
      </c>
      <c r="H418" s="14"/>
      <c r="I418" s="14"/>
      <c r="J418" s="14" t="n">
        <v>55.57</v>
      </c>
      <c r="K418" s="14" t="n">
        <v>165.47</v>
      </c>
      <c r="L418" s="14" t="n">
        <v>2.05</v>
      </c>
      <c r="M418" s="14" t="n">
        <v>35.23</v>
      </c>
      <c r="N418" s="14" t="n">
        <v>4.76</v>
      </c>
      <c r="O418" s="14"/>
      <c r="P418" s="14" t="n">
        <v>1</v>
      </c>
      <c r="Q418" s="14"/>
      <c r="R418" s="14"/>
      <c r="S418" s="14" t="n">
        <v>208.51</v>
      </c>
      <c r="T418" s="14" t="n">
        <v>0</v>
      </c>
      <c r="U418" s="14" t="n">
        <v>10.86</v>
      </c>
      <c r="V418" s="14" t="n">
        <v>15.22</v>
      </c>
      <c r="W418" s="14" t="n">
        <v>234.6</v>
      </c>
      <c r="X418" s="14" t="n">
        <v>336</v>
      </c>
      <c r="Y418" s="14" t="n">
        <v>101.4</v>
      </c>
      <c r="Z418" s="14" t="n">
        <v>0.14</v>
      </c>
      <c r="AA418" s="14" t="n">
        <v>0</v>
      </c>
      <c r="AB418" s="14" t="n">
        <v>0</v>
      </c>
      <c r="AC418" s="14" t="n">
        <v>0</v>
      </c>
      <c r="AD418" s="15" t="n">
        <f aca="false">H418*E418/1000</f>
        <v>0</v>
      </c>
      <c r="AE418" s="15" t="n">
        <f aca="false">I418*E418/1000</f>
        <v>0</v>
      </c>
      <c r="AF418" s="16" t="n">
        <f aca="false">ROUND(S418+T418+U418+V418-W418,2)</f>
        <v>-0.01</v>
      </c>
      <c r="AG418" s="16" t="n">
        <f aca="false">ROUND(X418-W418-Y418,2)</f>
        <v>0</v>
      </c>
    </row>
    <row r="419" customFormat="false" ht="15" hidden="false" customHeight="false" outlineLevel="0" collapsed="false">
      <c r="A419" s="13" t="s">
        <v>305</v>
      </c>
      <c r="B419" s="13" t="s">
        <v>256</v>
      </c>
      <c r="C419" s="13" t="s">
        <v>235</v>
      </c>
      <c r="D419" s="13" t="s">
        <v>314</v>
      </c>
      <c r="E419" s="14" t="n">
        <v>70</v>
      </c>
      <c r="F419" s="14" t="n">
        <v>2</v>
      </c>
      <c r="G419" s="14" t="n">
        <v>0.14</v>
      </c>
      <c r="H419" s="14"/>
      <c r="I419" s="14"/>
      <c r="J419" s="14" t="n">
        <v>55.57</v>
      </c>
      <c r="K419" s="14" t="n">
        <v>165.09</v>
      </c>
      <c r="L419" s="14" t="n">
        <v>3.78</v>
      </c>
      <c r="M419" s="14" t="n">
        <v>27.42</v>
      </c>
      <c r="N419" s="14" t="n">
        <v>6.63</v>
      </c>
      <c r="O419" s="14"/>
      <c r="P419" s="14" t="n">
        <v>1</v>
      </c>
      <c r="Q419" s="14"/>
      <c r="R419" s="14"/>
      <c r="S419" s="14" t="n">
        <v>203.92</v>
      </c>
      <c r="T419" s="14" t="n">
        <v>0</v>
      </c>
      <c r="U419" s="14" t="n">
        <v>10.86</v>
      </c>
      <c r="V419" s="14" t="n">
        <v>15.22</v>
      </c>
      <c r="W419" s="14" t="n">
        <v>230.01</v>
      </c>
      <c r="X419" s="14" t="n">
        <v>336</v>
      </c>
      <c r="Y419" s="14" t="n">
        <v>105.99</v>
      </c>
      <c r="Z419" s="14" t="n">
        <v>0.15</v>
      </c>
      <c r="AA419" s="14" t="n">
        <v>0</v>
      </c>
      <c r="AB419" s="14" t="n">
        <v>0</v>
      </c>
      <c r="AC419" s="14" t="n">
        <v>0</v>
      </c>
      <c r="AD419" s="15" t="n">
        <f aca="false">H419*E419/1000</f>
        <v>0</v>
      </c>
      <c r="AE419" s="15" t="n">
        <f aca="false">I419*E419/1000</f>
        <v>0</v>
      </c>
      <c r="AF419" s="16" t="n">
        <f aca="false">ROUND(S419+T419+U419+V419-W419,2)</f>
        <v>-0.01</v>
      </c>
      <c r="AG419" s="16" t="n">
        <f aca="false">ROUND(X419-W419-Y419,2)</f>
        <v>0</v>
      </c>
    </row>
    <row r="420" customFormat="false" ht="15" hidden="false" customHeight="false" outlineLevel="0" collapsed="false">
      <c r="A420" s="13" t="s">
        <v>305</v>
      </c>
      <c r="B420" s="13" t="s">
        <v>277</v>
      </c>
      <c r="C420" s="13" t="s">
        <v>241</v>
      </c>
      <c r="D420" s="13" t="s">
        <v>315</v>
      </c>
      <c r="E420" s="14" t="n">
        <v>22</v>
      </c>
      <c r="F420" s="14" t="n">
        <v>84</v>
      </c>
      <c r="G420" s="14" t="n">
        <v>1.85</v>
      </c>
      <c r="H420" s="14"/>
      <c r="I420" s="14"/>
      <c r="J420" s="14" t="n">
        <v>59.51</v>
      </c>
      <c r="K420" s="14" t="n">
        <v>64.92</v>
      </c>
      <c r="L420" s="14" t="n">
        <v>2.32</v>
      </c>
      <c r="M420" s="14" t="n">
        <v>10.34</v>
      </c>
      <c r="N420" s="14" t="n">
        <v>2</v>
      </c>
      <c r="O420" s="14"/>
      <c r="P420" s="14" t="n">
        <v>1</v>
      </c>
      <c r="Q420" s="14"/>
      <c r="R420" s="14" t="n">
        <v>1.4</v>
      </c>
      <c r="S420" s="14" t="n">
        <v>81.98</v>
      </c>
      <c r="T420" s="14" t="n">
        <v>0.9</v>
      </c>
      <c r="U420" s="14" t="n">
        <v>10.65</v>
      </c>
      <c r="V420" s="14" t="n">
        <v>17.87</v>
      </c>
      <c r="W420" s="14" t="n">
        <v>111.4</v>
      </c>
      <c r="X420" s="14" t="n">
        <v>175</v>
      </c>
      <c r="Y420" s="14" t="n">
        <v>63.6</v>
      </c>
      <c r="Z420" s="14" t="n">
        <v>1.18</v>
      </c>
      <c r="AA420" s="14" t="n">
        <v>0</v>
      </c>
      <c r="AB420" s="14" t="n">
        <v>0</v>
      </c>
      <c r="AC420" s="14" t="n">
        <v>0</v>
      </c>
      <c r="AD420" s="15" t="n">
        <f aca="false">H420*E420/1000</f>
        <v>0</v>
      </c>
      <c r="AE420" s="15" t="n">
        <f aca="false">I420*E420/1000</f>
        <v>0</v>
      </c>
      <c r="AF420" s="16" t="n">
        <f aca="false">ROUND(S420+T420+U420+V420-W420,2)</f>
        <v>0</v>
      </c>
      <c r="AG420" s="16" t="n">
        <f aca="false">ROUND(X420-W420-Y420,2)</f>
        <v>0</v>
      </c>
    </row>
    <row r="421" customFormat="false" ht="15" hidden="false" customHeight="false" outlineLevel="0" collapsed="false">
      <c r="A421" s="13" t="s">
        <v>305</v>
      </c>
      <c r="B421" s="13" t="s">
        <v>277</v>
      </c>
      <c r="C421" s="13" t="s">
        <v>241</v>
      </c>
      <c r="D421" s="13" t="s">
        <v>316</v>
      </c>
      <c r="E421" s="14" t="n">
        <v>28.5</v>
      </c>
      <c r="F421" s="14" t="n">
        <v>528</v>
      </c>
      <c r="G421" s="14" t="n">
        <v>15.05</v>
      </c>
      <c r="H421" s="14"/>
      <c r="I421" s="14"/>
      <c r="J421" s="14" t="n">
        <v>65.75</v>
      </c>
      <c r="K421" s="14" t="n">
        <v>64.11</v>
      </c>
      <c r="L421" s="14" t="n">
        <v>2.1</v>
      </c>
      <c r="M421" s="14" t="n">
        <v>11.01</v>
      </c>
      <c r="N421" s="14" t="n">
        <v>3</v>
      </c>
      <c r="O421" s="14"/>
      <c r="P421" s="14" t="n">
        <v>1</v>
      </c>
      <c r="Q421" s="14"/>
      <c r="R421" s="14" t="n">
        <v>1.4</v>
      </c>
      <c r="S421" s="14" t="n">
        <v>82.62</v>
      </c>
      <c r="T421" s="14" t="n">
        <v>0.9</v>
      </c>
      <c r="U421" s="14" t="n">
        <v>10.65</v>
      </c>
      <c r="V421" s="14" t="n">
        <v>16.81</v>
      </c>
      <c r="W421" s="14" t="n">
        <v>110.98</v>
      </c>
      <c r="X421" s="14" t="n">
        <v>175</v>
      </c>
      <c r="Y421" s="14" t="n">
        <v>64.02</v>
      </c>
      <c r="Z421" s="14" t="n">
        <v>9.63</v>
      </c>
      <c r="AA421" s="14" t="n">
        <v>0</v>
      </c>
      <c r="AB421" s="14" t="n">
        <v>0</v>
      </c>
      <c r="AC421" s="14" t="n">
        <v>0</v>
      </c>
      <c r="AD421" s="15" t="n">
        <f aca="false">H421*E421/1000</f>
        <v>0</v>
      </c>
      <c r="AE421" s="15" t="n">
        <f aca="false">I421*E421/1000</f>
        <v>0</v>
      </c>
      <c r="AF421" s="16" t="n">
        <f aca="false">ROUND(S421+T421+U421+V421-W421,2)</f>
        <v>0</v>
      </c>
      <c r="AG421" s="16" t="n">
        <f aca="false">ROUND(X421-W421-Y421,2)</f>
        <v>0</v>
      </c>
    </row>
    <row r="422" customFormat="false" ht="15" hidden="false" customHeight="false" outlineLevel="0" collapsed="false">
      <c r="A422" s="13" t="s">
        <v>305</v>
      </c>
      <c r="B422" s="13" t="s">
        <v>277</v>
      </c>
      <c r="C422" s="13" t="s">
        <v>246</v>
      </c>
      <c r="D422" s="13" t="s">
        <v>315</v>
      </c>
      <c r="E422" s="14" t="n">
        <v>22</v>
      </c>
      <c r="F422" s="14" t="n">
        <v>204</v>
      </c>
      <c r="G422" s="14" t="n">
        <v>4.49</v>
      </c>
      <c r="H422" s="14"/>
      <c r="I422" s="14"/>
      <c r="J422" s="14" t="n">
        <v>59.51</v>
      </c>
      <c r="K422" s="14" t="n">
        <v>65.08</v>
      </c>
      <c r="L422" s="14" t="n">
        <v>2.32</v>
      </c>
      <c r="M422" s="14" t="n">
        <v>10.34</v>
      </c>
      <c r="N422" s="14" t="n">
        <v>2</v>
      </c>
      <c r="O422" s="14"/>
      <c r="P422" s="14" t="n">
        <v>1.2</v>
      </c>
      <c r="Q422" s="14"/>
      <c r="R422" s="14" t="n">
        <v>1.4</v>
      </c>
      <c r="S422" s="14" t="n">
        <v>82.34</v>
      </c>
      <c r="T422" s="14" t="n">
        <v>0.9</v>
      </c>
      <c r="U422" s="14" t="n">
        <v>10.65</v>
      </c>
      <c r="V422" s="14" t="n">
        <v>17.87</v>
      </c>
      <c r="W422" s="14" t="n">
        <v>111.76</v>
      </c>
      <c r="X422" s="14" t="n">
        <v>175</v>
      </c>
      <c r="Y422" s="14" t="n">
        <v>63.24</v>
      </c>
      <c r="Z422" s="14" t="n">
        <v>2.84</v>
      </c>
      <c r="AA422" s="14" t="n">
        <v>0</v>
      </c>
      <c r="AB422" s="14" t="n">
        <v>0</v>
      </c>
      <c r="AC422" s="14" t="n">
        <v>0</v>
      </c>
      <c r="AD422" s="15" t="n">
        <f aca="false">H422*E422/1000</f>
        <v>0</v>
      </c>
      <c r="AE422" s="15" t="n">
        <f aca="false">I422*E422/1000</f>
        <v>0</v>
      </c>
      <c r="AF422" s="16" t="n">
        <f aca="false">ROUND(S422+T422+U422+V422-W422,2)</f>
        <v>0</v>
      </c>
      <c r="AG422" s="16" t="n">
        <f aca="false">ROUND(X422-W422-Y422,2)</f>
        <v>0</v>
      </c>
    </row>
    <row r="423" customFormat="false" ht="15" hidden="false" customHeight="false" outlineLevel="0" collapsed="false">
      <c r="A423" s="13" t="s">
        <v>305</v>
      </c>
      <c r="B423" s="13" t="s">
        <v>277</v>
      </c>
      <c r="C423" s="13" t="s">
        <v>246</v>
      </c>
      <c r="D423" s="13" t="s">
        <v>316</v>
      </c>
      <c r="E423" s="14" t="n">
        <v>28.5</v>
      </c>
      <c r="F423" s="14" t="n">
        <v>239</v>
      </c>
      <c r="G423" s="14" t="n">
        <v>6.81</v>
      </c>
      <c r="H423" s="14"/>
      <c r="I423" s="14"/>
      <c r="J423" s="14" t="n">
        <v>65.74</v>
      </c>
      <c r="K423" s="14" t="n">
        <v>64.27</v>
      </c>
      <c r="L423" s="14" t="n">
        <v>2.1</v>
      </c>
      <c r="M423" s="14" t="n">
        <v>11.01</v>
      </c>
      <c r="N423" s="14" t="n">
        <v>3</v>
      </c>
      <c r="O423" s="14"/>
      <c r="P423" s="14" t="n">
        <v>1.2</v>
      </c>
      <c r="Q423" s="14"/>
      <c r="R423" s="14" t="n">
        <v>1.4</v>
      </c>
      <c r="S423" s="14" t="n">
        <v>82.98</v>
      </c>
      <c r="T423" s="14" t="n">
        <v>0.9</v>
      </c>
      <c r="U423" s="14" t="n">
        <v>10.65</v>
      </c>
      <c r="V423" s="14" t="n">
        <v>16.81</v>
      </c>
      <c r="W423" s="14" t="n">
        <v>111.34</v>
      </c>
      <c r="X423" s="14" t="n">
        <v>175</v>
      </c>
      <c r="Y423" s="14" t="n">
        <v>63.66</v>
      </c>
      <c r="Z423" s="14" t="n">
        <v>4.34</v>
      </c>
      <c r="AA423" s="14" t="n">
        <v>0</v>
      </c>
      <c r="AB423" s="14" t="n">
        <v>0</v>
      </c>
      <c r="AC423" s="14" t="n">
        <v>0</v>
      </c>
      <c r="AD423" s="15" t="n">
        <f aca="false">H423*E423/1000</f>
        <v>0</v>
      </c>
      <c r="AE423" s="15" t="n">
        <f aca="false">I423*E423/1000</f>
        <v>0</v>
      </c>
      <c r="AF423" s="16" t="n">
        <f aca="false">ROUND(S423+T423+U423+V423-W423,2)</f>
        <v>0</v>
      </c>
      <c r="AG423" s="16" t="n">
        <f aca="false">ROUND(X423-W423-Y423,2)</f>
        <v>0</v>
      </c>
    </row>
    <row r="424" customFormat="false" ht="15" hidden="false" customHeight="false" outlineLevel="0" collapsed="false">
      <c r="A424" s="13" t="s">
        <v>305</v>
      </c>
      <c r="B424" s="13" t="s">
        <v>277</v>
      </c>
      <c r="C424" s="13" t="s">
        <v>246</v>
      </c>
      <c r="D424" s="13" t="s">
        <v>317</v>
      </c>
      <c r="E424" s="14" t="n">
        <v>30</v>
      </c>
      <c r="F424" s="14" t="n">
        <v>192</v>
      </c>
      <c r="G424" s="14" t="n">
        <v>5.76</v>
      </c>
      <c r="H424" s="14"/>
      <c r="I424" s="14"/>
      <c r="J424" s="14" t="n">
        <v>65.85</v>
      </c>
      <c r="K424" s="14" t="n">
        <v>64.26</v>
      </c>
      <c r="L424" s="14" t="n">
        <v>2.1</v>
      </c>
      <c r="M424" s="14" t="n">
        <v>9.62</v>
      </c>
      <c r="N424" s="14" t="n">
        <v>2</v>
      </c>
      <c r="O424" s="14"/>
      <c r="P424" s="14" t="n">
        <v>1.2</v>
      </c>
      <c r="Q424" s="14"/>
      <c r="R424" s="14" t="n">
        <v>1.4</v>
      </c>
      <c r="S424" s="14" t="n">
        <v>80.57</v>
      </c>
      <c r="T424" s="14" t="n">
        <v>0.9</v>
      </c>
      <c r="U424" s="14" t="n">
        <v>10.65</v>
      </c>
      <c r="V424" s="14" t="n">
        <v>17.47</v>
      </c>
      <c r="W424" s="14" t="n">
        <v>109.6</v>
      </c>
      <c r="X424" s="14" t="n">
        <v>175</v>
      </c>
      <c r="Y424" s="14" t="n">
        <v>65.4</v>
      </c>
      <c r="Z424" s="14" t="n">
        <v>3.77</v>
      </c>
      <c r="AA424" s="14" t="n">
        <v>0</v>
      </c>
      <c r="AB424" s="14" t="n">
        <v>0</v>
      </c>
      <c r="AC424" s="14" t="n">
        <v>0</v>
      </c>
      <c r="AD424" s="15" t="n">
        <f aca="false">H424*E424/1000</f>
        <v>0</v>
      </c>
      <c r="AE424" s="15" t="n">
        <f aca="false">I424*E424/1000</f>
        <v>0</v>
      </c>
      <c r="AF424" s="16" t="n">
        <f aca="false">ROUND(S424+T424+U424+V424-W424,2)</f>
        <v>-0.01</v>
      </c>
      <c r="AG424" s="16" t="n">
        <f aca="false">ROUND(X424-W424-Y424,2)</f>
        <v>0</v>
      </c>
    </row>
    <row r="425" customFormat="false" ht="15" hidden="false" customHeight="false" outlineLevel="0" collapsed="false">
      <c r="A425" s="13" t="s">
        <v>305</v>
      </c>
      <c r="B425" s="13" t="s">
        <v>291</v>
      </c>
      <c r="C425" s="13" t="s">
        <v>219</v>
      </c>
      <c r="D425" s="13" t="s">
        <v>315</v>
      </c>
      <c r="E425" s="14" t="n">
        <v>22</v>
      </c>
      <c r="F425" s="14" t="n">
        <v>12</v>
      </c>
      <c r="G425" s="14" t="n">
        <v>0.26</v>
      </c>
      <c r="H425" s="14"/>
      <c r="I425" s="14"/>
      <c r="J425" s="14" t="n">
        <v>59.51</v>
      </c>
      <c r="K425" s="14" t="n">
        <v>67.74</v>
      </c>
      <c r="L425" s="14" t="n">
        <v>2.32</v>
      </c>
      <c r="M425" s="14" t="n">
        <v>10.34</v>
      </c>
      <c r="N425" s="14" t="n">
        <v>2</v>
      </c>
      <c r="O425" s="14"/>
      <c r="P425" s="14" t="n">
        <v>1.2</v>
      </c>
      <c r="Q425" s="14"/>
      <c r="R425" s="14" t="n">
        <v>1.4</v>
      </c>
      <c r="S425" s="14" t="n">
        <v>85</v>
      </c>
      <c r="T425" s="14" t="n">
        <v>0.9</v>
      </c>
      <c r="U425" s="14" t="n">
        <v>10</v>
      </c>
      <c r="V425" s="14" t="n">
        <v>19.3</v>
      </c>
      <c r="W425" s="14" t="n">
        <v>115.2</v>
      </c>
      <c r="X425" s="14" t="n">
        <v>175</v>
      </c>
      <c r="Y425" s="14" t="n">
        <v>59.8</v>
      </c>
      <c r="Z425" s="14" t="n">
        <v>0.16</v>
      </c>
      <c r="AA425" s="14" t="n">
        <v>0</v>
      </c>
      <c r="AB425" s="14" t="n">
        <v>0</v>
      </c>
      <c r="AC425" s="14" t="n">
        <v>0</v>
      </c>
      <c r="AD425" s="15" t="n">
        <f aca="false">H425*E425/1000</f>
        <v>0</v>
      </c>
      <c r="AE425" s="15" t="n">
        <f aca="false">I425*E425/1000</f>
        <v>0</v>
      </c>
      <c r="AF425" s="16" t="n">
        <f aca="false">ROUND(S425+T425+U425+V425-W425,2)</f>
        <v>0</v>
      </c>
      <c r="AG425" s="16" t="n">
        <f aca="false">ROUND(X425-W425-Y425,2)</f>
        <v>0</v>
      </c>
    </row>
    <row r="426" customFormat="false" ht="15" hidden="false" customHeight="false" outlineLevel="0" collapsed="false">
      <c r="A426" s="13" t="s">
        <v>305</v>
      </c>
      <c r="B426" s="13" t="s">
        <v>291</v>
      </c>
      <c r="C426" s="13" t="s">
        <v>219</v>
      </c>
      <c r="D426" s="13" t="s">
        <v>316</v>
      </c>
      <c r="E426" s="14" t="n">
        <v>28.5</v>
      </c>
      <c r="F426" s="14" t="n">
        <v>12</v>
      </c>
      <c r="G426" s="14" t="n">
        <v>0.34</v>
      </c>
      <c r="H426" s="14"/>
      <c r="I426" s="14"/>
      <c r="J426" s="14" t="n">
        <v>65.74</v>
      </c>
      <c r="K426" s="14" t="n">
        <v>66.78</v>
      </c>
      <c r="L426" s="14" t="n">
        <v>2.1</v>
      </c>
      <c r="M426" s="14" t="n">
        <v>11.01</v>
      </c>
      <c r="N426" s="14" t="n">
        <v>3</v>
      </c>
      <c r="O426" s="14"/>
      <c r="P426" s="14" t="n">
        <v>1.2</v>
      </c>
      <c r="Q426" s="14"/>
      <c r="R426" s="14" t="n">
        <v>1.4</v>
      </c>
      <c r="S426" s="14" t="n">
        <v>85.48</v>
      </c>
      <c r="T426" s="14" t="n">
        <v>0.9</v>
      </c>
      <c r="U426" s="14" t="n">
        <v>10</v>
      </c>
      <c r="V426" s="14" t="n">
        <v>18.28</v>
      </c>
      <c r="W426" s="14" t="n">
        <v>114.67</v>
      </c>
      <c r="X426" s="14" t="n">
        <v>175</v>
      </c>
      <c r="Y426" s="14" t="n">
        <v>60.33</v>
      </c>
      <c r="Z426" s="14" t="n">
        <v>0.21</v>
      </c>
      <c r="AA426" s="14" t="n">
        <v>0</v>
      </c>
      <c r="AB426" s="14" t="n">
        <v>0</v>
      </c>
      <c r="AC426" s="14" t="n">
        <v>0</v>
      </c>
      <c r="AD426" s="15" t="n">
        <f aca="false">H426*E426/1000</f>
        <v>0</v>
      </c>
      <c r="AE426" s="15" t="n">
        <f aca="false">I426*E426/1000</f>
        <v>0</v>
      </c>
      <c r="AF426" s="16" t="n">
        <f aca="false">ROUND(S426+T426+U426+V426-W426,2)</f>
        <v>-0.01</v>
      </c>
      <c r="AG426" s="16" t="n">
        <f aca="false">ROUND(X426-W426-Y426,2)</f>
        <v>0</v>
      </c>
    </row>
    <row r="427" customFormat="false" ht="15" hidden="false" customHeight="false" outlineLevel="0" collapsed="false">
      <c r="A427" s="13" t="s">
        <v>305</v>
      </c>
      <c r="B427" s="13" t="s">
        <v>291</v>
      </c>
      <c r="C427" s="13" t="s">
        <v>219</v>
      </c>
      <c r="D427" s="13" t="s">
        <v>317</v>
      </c>
      <c r="E427" s="14" t="n">
        <v>30</v>
      </c>
      <c r="F427" s="14" t="n">
        <v>6</v>
      </c>
      <c r="G427" s="14" t="n">
        <v>0.18</v>
      </c>
      <c r="H427" s="14"/>
      <c r="I427" s="14"/>
      <c r="J427" s="14" t="n">
        <v>65.85</v>
      </c>
      <c r="K427" s="14" t="n">
        <v>66.76</v>
      </c>
      <c r="L427" s="14" t="n">
        <v>2.1</v>
      </c>
      <c r="M427" s="14" t="n">
        <v>9.62</v>
      </c>
      <c r="N427" s="14" t="n">
        <v>2</v>
      </c>
      <c r="O427" s="14"/>
      <c r="P427" s="14" t="n">
        <v>1.2</v>
      </c>
      <c r="Q427" s="14"/>
      <c r="R427" s="14" t="n">
        <v>1.4</v>
      </c>
      <c r="S427" s="14" t="n">
        <v>83.08</v>
      </c>
      <c r="T427" s="14" t="n">
        <v>0.9</v>
      </c>
      <c r="U427" s="14" t="n">
        <v>10</v>
      </c>
      <c r="V427" s="14" t="n">
        <v>18.27</v>
      </c>
      <c r="W427" s="14" t="n">
        <v>112.25</v>
      </c>
      <c r="X427" s="14" t="n">
        <v>175</v>
      </c>
      <c r="Y427" s="14" t="n">
        <v>62.75</v>
      </c>
      <c r="Z427" s="14" t="n">
        <v>0.11</v>
      </c>
      <c r="AA427" s="14" t="n">
        <v>0</v>
      </c>
      <c r="AB427" s="14" t="n">
        <v>0</v>
      </c>
      <c r="AC427" s="14" t="n">
        <v>0</v>
      </c>
      <c r="AD427" s="15" t="n">
        <f aca="false">H427*E427/1000</f>
        <v>0</v>
      </c>
      <c r="AE427" s="15" t="n">
        <f aca="false">I427*E427/1000</f>
        <v>0</v>
      </c>
      <c r="AF427" s="16" t="n">
        <f aca="false">ROUND(S427+T427+U427+V427-W427,2)</f>
        <v>0</v>
      </c>
      <c r="AG427" s="16" t="n">
        <f aca="false">ROUND(X427-W427-Y427,2)</f>
        <v>0</v>
      </c>
    </row>
    <row r="428" customFormat="false" ht="15" hidden="false" customHeight="false" outlineLevel="0" collapsed="false">
      <c r="A428" s="13" t="s">
        <v>305</v>
      </c>
      <c r="B428" s="13" t="s">
        <v>291</v>
      </c>
      <c r="C428" s="13" t="s">
        <v>219</v>
      </c>
      <c r="D428" s="13" t="s">
        <v>318</v>
      </c>
      <c r="E428" s="14" t="n">
        <v>15.5</v>
      </c>
      <c r="F428" s="14" t="n">
        <v>88</v>
      </c>
      <c r="G428" s="14" t="n">
        <v>1.36</v>
      </c>
      <c r="H428" s="14"/>
      <c r="I428" s="14"/>
      <c r="J428" s="14" t="n">
        <v>60.78</v>
      </c>
      <c r="K428" s="14" t="n">
        <v>67.53</v>
      </c>
      <c r="L428" s="14" t="n">
        <v>2.27</v>
      </c>
      <c r="M428" s="14" t="n">
        <v>13.99</v>
      </c>
      <c r="N428" s="14" t="n">
        <v>2</v>
      </c>
      <c r="O428" s="14"/>
      <c r="P428" s="14" t="n">
        <v>1.2</v>
      </c>
      <c r="Q428" s="14"/>
      <c r="R428" s="14" t="n">
        <v>1.4</v>
      </c>
      <c r="S428" s="14" t="n">
        <v>88.38</v>
      </c>
      <c r="T428" s="14" t="n">
        <v>0.9</v>
      </c>
      <c r="U428" s="14" t="n">
        <v>10</v>
      </c>
      <c r="V428" s="14" t="n">
        <v>19.08</v>
      </c>
      <c r="W428" s="14" t="n">
        <v>118.36</v>
      </c>
      <c r="X428" s="14" t="n">
        <v>180</v>
      </c>
      <c r="Y428" s="14" t="n">
        <v>61.64</v>
      </c>
      <c r="Z428" s="14" t="n">
        <v>0.84</v>
      </c>
      <c r="AA428" s="14" t="n">
        <v>0</v>
      </c>
      <c r="AB428" s="14" t="n">
        <v>0</v>
      </c>
      <c r="AC428" s="14" t="n">
        <v>0</v>
      </c>
      <c r="AD428" s="15" t="n">
        <f aca="false">H428*E428/1000</f>
        <v>0</v>
      </c>
      <c r="AE428" s="15" t="n">
        <f aca="false">I428*E428/1000</f>
        <v>0</v>
      </c>
      <c r="AF428" s="16" t="n">
        <f aca="false">ROUND(S428+T428+U428+V428-W428,2)</f>
        <v>0</v>
      </c>
      <c r="AG428" s="16" t="n">
        <f aca="false">ROUND(X428-W428-Y428,2)</f>
        <v>0</v>
      </c>
    </row>
    <row r="429" customFormat="false" ht="15" hidden="false" customHeight="false" outlineLevel="0" collapsed="false">
      <c r="A429" s="13" t="s">
        <v>305</v>
      </c>
      <c r="B429" s="13" t="s">
        <v>291</v>
      </c>
      <c r="C429" s="13" t="s">
        <v>269</v>
      </c>
      <c r="D429" s="13" t="s">
        <v>319</v>
      </c>
      <c r="E429" s="14" t="n">
        <v>30</v>
      </c>
      <c r="F429" s="14" t="n">
        <v>18</v>
      </c>
      <c r="G429" s="14" t="n">
        <v>0.54</v>
      </c>
      <c r="H429" s="14"/>
      <c r="I429" s="14"/>
      <c r="J429" s="14" t="n">
        <v>56.86</v>
      </c>
      <c r="K429" s="14" t="n">
        <v>68.47</v>
      </c>
      <c r="L429" s="14" t="n">
        <v>1.69</v>
      </c>
      <c r="M429" s="14" t="n">
        <v>9.34</v>
      </c>
      <c r="N429" s="14" t="n">
        <v>4</v>
      </c>
      <c r="O429" s="14"/>
      <c r="P429" s="14" t="n">
        <v>1</v>
      </c>
      <c r="Q429" s="14"/>
      <c r="R429" s="14" t="n">
        <v>1.4</v>
      </c>
      <c r="S429" s="14" t="n">
        <v>85.89</v>
      </c>
      <c r="T429" s="14" t="n">
        <v>0.9</v>
      </c>
      <c r="U429" s="14" t="n">
        <v>10</v>
      </c>
      <c r="V429" s="14" t="n">
        <v>18.52</v>
      </c>
      <c r="W429" s="14" t="n">
        <v>115.32</v>
      </c>
      <c r="X429" s="14" t="n">
        <v>195</v>
      </c>
      <c r="Y429" s="14" t="n">
        <v>79.68</v>
      </c>
      <c r="Z429" s="14" t="n">
        <v>0.43</v>
      </c>
      <c r="AA429" s="14" t="n">
        <v>0</v>
      </c>
      <c r="AB429" s="14" t="n">
        <v>0</v>
      </c>
      <c r="AC429" s="14" t="n">
        <v>0</v>
      </c>
      <c r="AD429" s="15" t="n">
        <f aca="false">H429*E429/1000</f>
        <v>0</v>
      </c>
      <c r="AE429" s="15" t="n">
        <f aca="false">I429*E429/1000</f>
        <v>0</v>
      </c>
      <c r="AF429" s="16" t="n">
        <f aca="false">ROUND(S429+T429+U429+V429-W429,2)</f>
        <v>-0.01</v>
      </c>
      <c r="AG429" s="16" t="n">
        <f aca="false">ROUND(X429-W429-Y429,2)</f>
        <v>0</v>
      </c>
    </row>
    <row r="430" customFormat="false" ht="15" hidden="false" customHeight="false" outlineLevel="0" collapsed="false">
      <c r="A430" s="13" t="s">
        <v>305</v>
      </c>
      <c r="B430" s="13" t="s">
        <v>291</v>
      </c>
      <c r="C430" s="13" t="s">
        <v>240</v>
      </c>
      <c r="D430" s="13" t="s">
        <v>320</v>
      </c>
      <c r="E430" s="14" t="n">
        <v>27</v>
      </c>
      <c r="F430" s="14" t="n">
        <v>18</v>
      </c>
      <c r="G430" s="14" t="n">
        <v>0.49</v>
      </c>
      <c r="H430" s="14"/>
      <c r="I430" s="14"/>
      <c r="J430" s="14" t="n">
        <v>56.86</v>
      </c>
      <c r="K430" s="14" t="n">
        <v>67.31</v>
      </c>
      <c r="L430" s="14" t="n">
        <v>1.69</v>
      </c>
      <c r="M430" s="14" t="n">
        <v>10.38</v>
      </c>
      <c r="N430" s="14" t="n">
        <v>5</v>
      </c>
      <c r="O430" s="14"/>
      <c r="P430" s="14" t="n">
        <v>1</v>
      </c>
      <c r="Q430" s="14"/>
      <c r="R430" s="14" t="n">
        <v>1.4</v>
      </c>
      <c r="S430" s="14" t="n">
        <v>86.77</v>
      </c>
      <c r="T430" s="14" t="n">
        <v>0.9</v>
      </c>
      <c r="U430" s="14" t="n">
        <v>10</v>
      </c>
      <c r="V430" s="14" t="n">
        <v>19.92</v>
      </c>
      <c r="W430" s="14" t="n">
        <v>117.6</v>
      </c>
      <c r="X430" s="14" t="n">
        <v>216.67</v>
      </c>
      <c r="Y430" s="14" t="n">
        <v>99.07</v>
      </c>
      <c r="Z430" s="14" t="n">
        <v>0.48</v>
      </c>
      <c r="AA430" s="14" t="n">
        <v>0</v>
      </c>
      <c r="AB430" s="14" t="n">
        <v>0</v>
      </c>
      <c r="AC430" s="14" t="n">
        <v>0</v>
      </c>
      <c r="AD430" s="15" t="n">
        <f aca="false">H430*E430/1000</f>
        <v>0</v>
      </c>
      <c r="AE430" s="15" t="n">
        <f aca="false">I430*E430/1000</f>
        <v>0</v>
      </c>
      <c r="AF430" s="16" t="n">
        <f aca="false">ROUND(S430+T430+U430+V430-W430,2)</f>
        <v>-0.01</v>
      </c>
      <c r="AG430" s="16" t="n">
        <f aca="false">ROUND(X430-W430-Y430,2)</f>
        <v>0</v>
      </c>
    </row>
    <row r="431" customFormat="false" ht="15" hidden="false" customHeight="false" outlineLevel="0" collapsed="false">
      <c r="A431" s="13" t="s">
        <v>305</v>
      </c>
      <c r="B431" s="13" t="s">
        <v>291</v>
      </c>
      <c r="C431" s="13" t="s">
        <v>241</v>
      </c>
      <c r="D431" s="13" t="s">
        <v>321</v>
      </c>
      <c r="E431" s="14" t="n">
        <v>51.5</v>
      </c>
      <c r="F431" s="14" t="n">
        <v>352</v>
      </c>
      <c r="G431" s="14" t="n">
        <v>18.13</v>
      </c>
      <c r="H431" s="14" t="n">
        <v>4</v>
      </c>
      <c r="I431" s="14"/>
      <c r="J431" s="14" t="n">
        <v>63.73</v>
      </c>
      <c r="K431" s="14" t="n">
        <v>59.88</v>
      </c>
      <c r="L431" s="14" t="n">
        <v>1.51</v>
      </c>
      <c r="M431" s="14" t="n">
        <v>10.59</v>
      </c>
      <c r="N431" s="14" t="n">
        <v>3</v>
      </c>
      <c r="O431" s="14"/>
      <c r="P431" s="14" t="n">
        <v>1</v>
      </c>
      <c r="Q431" s="14"/>
      <c r="R431" s="14" t="n">
        <v>1.4</v>
      </c>
      <c r="S431" s="14" t="n">
        <v>77.38</v>
      </c>
      <c r="T431" s="14" t="n">
        <v>0.9</v>
      </c>
      <c r="U431" s="14" t="n">
        <v>10</v>
      </c>
      <c r="V431" s="14" t="n">
        <v>17.38</v>
      </c>
      <c r="W431" s="14" t="n">
        <v>105.65</v>
      </c>
      <c r="X431" s="14" t="n">
        <v>178</v>
      </c>
      <c r="Y431" s="14" t="n">
        <v>72.35</v>
      </c>
      <c r="Z431" s="14" t="n">
        <v>12.89</v>
      </c>
      <c r="AA431" s="14" t="n">
        <v>0.08</v>
      </c>
      <c r="AB431" s="14" t="n">
        <v>0</v>
      </c>
      <c r="AC431" s="14" t="n">
        <v>0.15</v>
      </c>
      <c r="AD431" s="15" t="n">
        <f aca="false">H431*E431/1000</f>
        <v>0.206</v>
      </c>
      <c r="AE431" s="15" t="n">
        <f aca="false">I431*E431/1000</f>
        <v>0</v>
      </c>
      <c r="AF431" s="16" t="n">
        <f aca="false">ROUND(S431+T431+U431+V431-W431,2)</f>
        <v>0.01</v>
      </c>
      <c r="AG431" s="16" t="n">
        <f aca="false">ROUND(X431-W431-Y431,2)</f>
        <v>0</v>
      </c>
    </row>
    <row r="432" customFormat="false" ht="15" hidden="false" customHeight="false" outlineLevel="0" collapsed="false">
      <c r="A432" s="13" t="s">
        <v>305</v>
      </c>
      <c r="B432" s="13" t="s">
        <v>291</v>
      </c>
      <c r="C432" s="13" t="s">
        <v>241</v>
      </c>
      <c r="D432" s="13" t="s">
        <v>322</v>
      </c>
      <c r="E432" s="14" t="n">
        <v>42</v>
      </c>
      <c r="F432" s="14" t="n">
        <v>8</v>
      </c>
      <c r="G432" s="14" t="n">
        <v>0.34</v>
      </c>
      <c r="H432" s="14"/>
      <c r="I432" s="14"/>
      <c r="J432" s="14" t="n">
        <v>60.78</v>
      </c>
      <c r="K432" s="14" t="n">
        <v>60.05</v>
      </c>
      <c r="L432" s="14" t="n">
        <v>1.58</v>
      </c>
      <c r="M432" s="14" t="n">
        <v>12.19</v>
      </c>
      <c r="N432" s="14" t="n">
        <v>3</v>
      </c>
      <c r="O432" s="14"/>
      <c r="P432" s="14" t="n">
        <v>1</v>
      </c>
      <c r="Q432" s="14"/>
      <c r="R432" s="14" t="n">
        <v>1.4</v>
      </c>
      <c r="S432" s="14" t="n">
        <v>79.22</v>
      </c>
      <c r="T432" s="14" t="n">
        <v>0.9</v>
      </c>
      <c r="U432" s="14" t="n">
        <v>10</v>
      </c>
      <c r="V432" s="14" t="n">
        <v>17.86</v>
      </c>
      <c r="W432" s="14" t="n">
        <v>107.98</v>
      </c>
      <c r="X432" s="14" t="n">
        <v>178</v>
      </c>
      <c r="Y432" s="14" t="n">
        <v>70.02</v>
      </c>
      <c r="Z432" s="14" t="n">
        <v>0.24</v>
      </c>
      <c r="AA432" s="14" t="n">
        <v>0</v>
      </c>
      <c r="AB432" s="14" t="n">
        <v>0</v>
      </c>
      <c r="AC432" s="14" t="n">
        <v>0</v>
      </c>
      <c r="AD432" s="15" t="n">
        <f aca="false">H432*E432/1000</f>
        <v>0</v>
      </c>
      <c r="AE432" s="15" t="n">
        <f aca="false">I432*E432/1000</f>
        <v>0</v>
      </c>
      <c r="AF432" s="16" t="n">
        <f aca="false">ROUND(S432+T432+U432+V432-W432,2)</f>
        <v>0</v>
      </c>
      <c r="AG432" s="16" t="n">
        <f aca="false">ROUND(X432-W432-Y432,2)</f>
        <v>0</v>
      </c>
    </row>
    <row r="433" customFormat="false" ht="15" hidden="false" customHeight="false" outlineLevel="0" collapsed="false">
      <c r="A433" s="13" t="s">
        <v>305</v>
      </c>
      <c r="B433" s="13" t="s">
        <v>291</v>
      </c>
      <c r="C433" s="13" t="s">
        <v>246</v>
      </c>
      <c r="D433" s="13" t="s">
        <v>318</v>
      </c>
      <c r="E433" s="14" t="n">
        <v>15.5</v>
      </c>
      <c r="F433" s="14" t="n">
        <v>16</v>
      </c>
      <c r="G433" s="14" t="n">
        <v>0.25</v>
      </c>
      <c r="H433" s="14"/>
      <c r="I433" s="14"/>
      <c r="J433" s="14" t="n">
        <v>60.78</v>
      </c>
      <c r="K433" s="14" t="n">
        <v>70.05</v>
      </c>
      <c r="L433" s="14" t="n">
        <v>1.58</v>
      </c>
      <c r="M433" s="14" t="n">
        <v>15.61</v>
      </c>
      <c r="N433" s="14" t="n">
        <v>2</v>
      </c>
      <c r="O433" s="14"/>
      <c r="P433" s="14" t="n">
        <v>1.2</v>
      </c>
      <c r="Q433" s="14"/>
      <c r="R433" s="14" t="n">
        <v>1.4</v>
      </c>
      <c r="S433" s="14" t="n">
        <v>91.85</v>
      </c>
      <c r="T433" s="14" t="n">
        <v>0.9</v>
      </c>
      <c r="U433" s="14" t="n">
        <v>10</v>
      </c>
      <c r="V433" s="14" t="n">
        <v>19.05</v>
      </c>
      <c r="W433" s="14" t="n">
        <v>121.8</v>
      </c>
      <c r="X433" s="14" t="n">
        <v>195</v>
      </c>
      <c r="Y433" s="14" t="n">
        <v>73.2</v>
      </c>
      <c r="Z433" s="14" t="n">
        <v>0.18</v>
      </c>
      <c r="AA433" s="14" t="n">
        <v>0</v>
      </c>
      <c r="AB433" s="14" t="n">
        <v>0</v>
      </c>
      <c r="AC433" s="14" t="n">
        <v>0</v>
      </c>
      <c r="AD433" s="15" t="n">
        <f aca="false">H433*E433/1000</f>
        <v>0</v>
      </c>
      <c r="AE433" s="15" t="n">
        <f aca="false">I433*E433/1000</f>
        <v>0</v>
      </c>
      <c r="AF433" s="16" t="n">
        <f aca="false">ROUND(S433+T433+U433+V433-W433,2)</f>
        <v>0</v>
      </c>
      <c r="AG433" s="16" t="n">
        <f aca="false">ROUND(X433-W433-Y433,2)</f>
        <v>0</v>
      </c>
    </row>
    <row r="434" customFormat="false" ht="15" hidden="false" customHeight="false" outlineLevel="0" collapsed="false">
      <c r="A434" s="13" t="s">
        <v>305</v>
      </c>
      <c r="B434" s="13" t="s">
        <v>291</v>
      </c>
      <c r="C434" s="13" t="s">
        <v>246</v>
      </c>
      <c r="D434" s="13" t="s">
        <v>320</v>
      </c>
      <c r="E434" s="14" t="n">
        <v>27</v>
      </c>
      <c r="F434" s="14" t="n">
        <v>1</v>
      </c>
      <c r="G434" s="14" t="n">
        <v>0.03</v>
      </c>
      <c r="H434" s="14"/>
      <c r="I434" s="14"/>
      <c r="J434" s="14" t="n">
        <v>56.86</v>
      </c>
      <c r="K434" s="14" t="n">
        <v>70.68</v>
      </c>
      <c r="L434" s="14" t="n">
        <v>1.69</v>
      </c>
      <c r="M434" s="14" t="n">
        <v>10.38</v>
      </c>
      <c r="N434" s="14" t="n">
        <v>5</v>
      </c>
      <c r="O434" s="14"/>
      <c r="P434" s="14" t="n">
        <v>1</v>
      </c>
      <c r="Q434" s="14"/>
      <c r="R434" s="14" t="n">
        <v>1.4</v>
      </c>
      <c r="S434" s="14" t="n">
        <v>90.14</v>
      </c>
      <c r="T434" s="14" t="n">
        <v>0.9</v>
      </c>
      <c r="U434" s="14" t="n">
        <v>10</v>
      </c>
      <c r="V434" s="14" t="n">
        <v>19.78</v>
      </c>
      <c r="W434" s="14" t="n">
        <v>120.83</v>
      </c>
      <c r="X434" s="14" t="n">
        <v>216.67</v>
      </c>
      <c r="Y434" s="14" t="n">
        <v>95.84</v>
      </c>
      <c r="Z434" s="14" t="n">
        <v>0.03</v>
      </c>
      <c r="AA434" s="14" t="n">
        <v>0</v>
      </c>
      <c r="AB434" s="14" t="n">
        <v>0</v>
      </c>
      <c r="AC434" s="14" t="n">
        <v>0</v>
      </c>
      <c r="AD434" s="15" t="n">
        <f aca="false">H434*E434/1000</f>
        <v>0</v>
      </c>
      <c r="AE434" s="15" t="n">
        <f aca="false">I434*E434/1000</f>
        <v>0</v>
      </c>
      <c r="AF434" s="16" t="n">
        <f aca="false">ROUND(S434+T434+U434+V434-W434,2)</f>
        <v>-0.01</v>
      </c>
      <c r="AG434" s="16" t="n">
        <f aca="false">ROUND(X434-W434-Y434,2)</f>
        <v>0</v>
      </c>
    </row>
    <row r="435" customFormat="false" ht="15" hidden="false" customHeight="false" outlineLevel="0" collapsed="false">
      <c r="A435" s="13" t="s">
        <v>305</v>
      </c>
      <c r="B435" s="13" t="s">
        <v>291</v>
      </c>
      <c r="C435" s="13" t="s">
        <v>246</v>
      </c>
      <c r="D435" s="13" t="s">
        <v>321</v>
      </c>
      <c r="E435" s="14" t="n">
        <v>51.5</v>
      </c>
      <c r="F435" s="14" t="n">
        <v>20</v>
      </c>
      <c r="G435" s="14" t="n">
        <v>1.03</v>
      </c>
      <c r="H435" s="14"/>
      <c r="I435" s="14"/>
      <c r="J435" s="14" t="n">
        <v>63.73</v>
      </c>
      <c r="K435" s="14" t="n">
        <v>64.85</v>
      </c>
      <c r="L435" s="14" t="n">
        <v>1.51</v>
      </c>
      <c r="M435" s="14" t="n">
        <v>10.59</v>
      </c>
      <c r="N435" s="14" t="n">
        <v>3</v>
      </c>
      <c r="O435" s="14"/>
      <c r="P435" s="14" t="n">
        <v>1</v>
      </c>
      <c r="Q435" s="14"/>
      <c r="R435" s="14" t="n">
        <v>1.4</v>
      </c>
      <c r="S435" s="14" t="n">
        <v>82.35</v>
      </c>
      <c r="T435" s="14" t="n">
        <v>0.9</v>
      </c>
      <c r="U435" s="14" t="n">
        <v>10</v>
      </c>
      <c r="V435" s="14" t="n">
        <v>18.57</v>
      </c>
      <c r="W435" s="14" t="n">
        <v>111.82</v>
      </c>
      <c r="X435" s="14" t="n">
        <v>178</v>
      </c>
      <c r="Y435" s="14" t="n">
        <v>66.18</v>
      </c>
      <c r="Z435" s="14" t="n">
        <v>0.68</v>
      </c>
      <c r="AA435" s="14" t="n">
        <v>0</v>
      </c>
      <c r="AB435" s="14" t="n">
        <v>0</v>
      </c>
      <c r="AC435" s="14" t="n">
        <v>0</v>
      </c>
      <c r="AD435" s="15" t="n">
        <f aca="false">H435*E435/1000</f>
        <v>0</v>
      </c>
      <c r="AE435" s="15" t="n">
        <f aca="false">I435*E435/1000</f>
        <v>0</v>
      </c>
      <c r="AF435" s="16" t="n">
        <f aca="false">ROUND(S435+T435+U435+V435-W435,2)</f>
        <v>0</v>
      </c>
      <c r="AG435" s="16" t="n">
        <f aca="false">ROUND(X435-W435-Y435,2)</f>
        <v>0</v>
      </c>
    </row>
    <row r="436" customFormat="false" ht="15" hidden="false" customHeight="false" outlineLevel="0" collapsed="false">
      <c r="A436" s="13" t="s">
        <v>305</v>
      </c>
      <c r="B436" s="13" t="s">
        <v>291</v>
      </c>
      <c r="C436" s="13" t="s">
        <v>246</v>
      </c>
      <c r="D436" s="13" t="s">
        <v>322</v>
      </c>
      <c r="E436" s="14" t="n">
        <v>42</v>
      </c>
      <c r="F436" s="14" t="n">
        <v>96</v>
      </c>
      <c r="G436" s="14" t="n">
        <v>4.03</v>
      </c>
      <c r="H436" s="14"/>
      <c r="I436" s="14"/>
      <c r="J436" s="14" t="n">
        <v>60.78</v>
      </c>
      <c r="K436" s="14" t="n">
        <v>65.04</v>
      </c>
      <c r="L436" s="14" t="n">
        <v>1.58</v>
      </c>
      <c r="M436" s="14" t="n">
        <v>12.19</v>
      </c>
      <c r="N436" s="14" t="n">
        <v>3</v>
      </c>
      <c r="O436" s="14"/>
      <c r="P436" s="14" t="n">
        <v>1</v>
      </c>
      <c r="Q436" s="14"/>
      <c r="R436" s="14" t="n">
        <v>1.4</v>
      </c>
      <c r="S436" s="14" t="n">
        <v>84.21</v>
      </c>
      <c r="T436" s="14" t="n">
        <v>0.9</v>
      </c>
      <c r="U436" s="14" t="n">
        <v>10</v>
      </c>
      <c r="V436" s="14" t="n">
        <v>19.05</v>
      </c>
      <c r="W436" s="14" t="n">
        <v>114.16</v>
      </c>
      <c r="X436" s="14" t="n">
        <v>178</v>
      </c>
      <c r="Y436" s="14" t="n">
        <v>63.84</v>
      </c>
      <c r="Z436" s="14" t="n">
        <v>2.57</v>
      </c>
      <c r="AA436" s="14" t="n">
        <v>0</v>
      </c>
      <c r="AB436" s="14" t="n">
        <v>0</v>
      </c>
      <c r="AC436" s="14" t="n">
        <v>0</v>
      </c>
      <c r="AD436" s="15" t="n">
        <f aca="false">H436*E436/1000</f>
        <v>0</v>
      </c>
      <c r="AE436" s="15" t="n">
        <f aca="false">I436*E436/1000</f>
        <v>0</v>
      </c>
      <c r="AF436" s="16" t="n">
        <f aca="false">ROUND(S436+T436+U436+V436-W436,2)</f>
        <v>0</v>
      </c>
      <c r="AG436" s="16" t="n">
        <f aca="false">ROUND(X436-W436-Y436,2)</f>
        <v>0</v>
      </c>
    </row>
    <row r="437" customFormat="false" ht="15" hidden="false" customHeight="false" outlineLevel="0" collapsed="false">
      <c r="A437" s="13" t="s">
        <v>305</v>
      </c>
      <c r="B437" s="13" t="s">
        <v>291</v>
      </c>
      <c r="C437" s="13" t="s">
        <v>246</v>
      </c>
      <c r="D437" s="13" t="s">
        <v>323</v>
      </c>
      <c r="E437" s="14" t="n">
        <v>35</v>
      </c>
      <c r="F437" s="14" t="n">
        <v>26</v>
      </c>
      <c r="G437" s="14" t="n">
        <v>0.91</v>
      </c>
      <c r="H437" s="14"/>
      <c r="I437" s="14"/>
      <c r="J437" s="14" t="n">
        <v>56.36</v>
      </c>
      <c r="K437" s="14" t="n">
        <v>65.35</v>
      </c>
      <c r="L437" s="14" t="n">
        <v>1.7</v>
      </c>
      <c r="M437" s="14" t="n">
        <v>14.34</v>
      </c>
      <c r="N437" s="14" t="n">
        <v>3</v>
      </c>
      <c r="O437" s="14"/>
      <c r="P437" s="14" t="n">
        <v>1</v>
      </c>
      <c r="Q437" s="14"/>
      <c r="R437" s="14" t="n">
        <v>1.4</v>
      </c>
      <c r="S437" s="14" t="n">
        <v>86.79</v>
      </c>
      <c r="T437" s="14" t="n">
        <v>0.9</v>
      </c>
      <c r="U437" s="14" t="n">
        <v>10</v>
      </c>
      <c r="V437" s="14" t="n">
        <v>19.89</v>
      </c>
      <c r="W437" s="14" t="n">
        <v>117.58</v>
      </c>
      <c r="X437" s="14" t="n">
        <v>178</v>
      </c>
      <c r="Y437" s="14" t="n">
        <v>60.42</v>
      </c>
      <c r="Z437" s="14" t="n">
        <v>0.55</v>
      </c>
      <c r="AA437" s="14" t="n">
        <v>0</v>
      </c>
      <c r="AB437" s="14" t="n">
        <v>0</v>
      </c>
      <c r="AC437" s="14" t="n">
        <v>0</v>
      </c>
      <c r="AD437" s="15" t="n">
        <f aca="false">H437*E437/1000</f>
        <v>0</v>
      </c>
      <c r="AE437" s="15" t="n">
        <f aca="false">I437*E437/1000</f>
        <v>0</v>
      </c>
      <c r="AF437" s="16" t="n">
        <f aca="false">ROUND(S437+T437+U437+V437-W437,2)</f>
        <v>0</v>
      </c>
      <c r="AG437" s="16" t="n">
        <f aca="false">ROUND(X437-W437-Y437,2)</f>
        <v>0</v>
      </c>
    </row>
    <row r="438" customFormat="false" ht="15" hidden="false" customHeight="false" outlineLevel="0" collapsed="false">
      <c r="A438" s="13" t="s">
        <v>305</v>
      </c>
      <c r="B438" s="13" t="s">
        <v>291</v>
      </c>
      <c r="C438" s="13" t="s">
        <v>246</v>
      </c>
      <c r="D438" s="13" t="s">
        <v>324</v>
      </c>
      <c r="E438" s="14" t="n">
        <v>36</v>
      </c>
      <c r="F438" s="14" t="n">
        <v>26</v>
      </c>
      <c r="G438" s="14" t="n">
        <v>0.94</v>
      </c>
      <c r="H438" s="14"/>
      <c r="I438" s="14"/>
      <c r="J438" s="14" t="n">
        <v>56.36</v>
      </c>
      <c r="K438" s="14" t="n">
        <v>65.35</v>
      </c>
      <c r="L438" s="14" t="n">
        <v>1.7</v>
      </c>
      <c r="M438" s="14" t="n">
        <v>14.27</v>
      </c>
      <c r="N438" s="14" t="n">
        <v>3</v>
      </c>
      <c r="O438" s="14"/>
      <c r="P438" s="14" t="n">
        <v>1</v>
      </c>
      <c r="Q438" s="14"/>
      <c r="R438" s="14" t="n">
        <v>1.4</v>
      </c>
      <c r="S438" s="14" t="n">
        <v>86.72</v>
      </c>
      <c r="T438" s="14" t="n">
        <v>0.9</v>
      </c>
      <c r="U438" s="14" t="n">
        <v>10</v>
      </c>
      <c r="V438" s="14" t="n">
        <v>19.89</v>
      </c>
      <c r="W438" s="14" t="n">
        <v>117.51</v>
      </c>
      <c r="X438" s="14" t="n">
        <v>178</v>
      </c>
      <c r="Y438" s="14" t="n">
        <v>60.49</v>
      </c>
      <c r="Z438" s="14" t="n">
        <v>0.57</v>
      </c>
      <c r="AA438" s="14" t="n">
        <v>0</v>
      </c>
      <c r="AB438" s="14" t="n">
        <v>0</v>
      </c>
      <c r="AC438" s="14" t="n">
        <v>0</v>
      </c>
      <c r="AD438" s="15" t="n">
        <f aca="false">H438*E438/1000</f>
        <v>0</v>
      </c>
      <c r="AE438" s="15" t="n">
        <f aca="false">I438*E438/1000</f>
        <v>0</v>
      </c>
      <c r="AF438" s="16" t="n">
        <f aca="false">ROUND(S438+T438+U438+V438-W438,2)</f>
        <v>0</v>
      </c>
      <c r="AG438" s="16" t="n">
        <f aca="false">ROUND(X438-W438-Y438,2)</f>
        <v>0</v>
      </c>
    </row>
    <row r="439" customFormat="false" ht="15" hidden="false" customHeight="false" outlineLevel="0" collapsed="false">
      <c r="A439" s="13" t="s">
        <v>305</v>
      </c>
      <c r="B439" s="13" t="s">
        <v>297</v>
      </c>
      <c r="C439" s="13" t="s">
        <v>219</v>
      </c>
      <c r="D439" s="13" t="s">
        <v>325</v>
      </c>
      <c r="E439" s="14" t="n">
        <v>15.5</v>
      </c>
      <c r="F439" s="14" t="n">
        <v>256</v>
      </c>
      <c r="G439" s="14" t="n">
        <v>3.97</v>
      </c>
      <c r="H439" s="14"/>
      <c r="I439" s="14"/>
      <c r="J439" s="14" t="n">
        <v>60.78</v>
      </c>
      <c r="K439" s="14" t="n">
        <v>66.63</v>
      </c>
      <c r="L439" s="14" t="n">
        <v>1.58</v>
      </c>
      <c r="M439" s="14" t="n">
        <v>16.35</v>
      </c>
      <c r="N439" s="14" t="n">
        <v>2.5</v>
      </c>
      <c r="O439" s="14"/>
      <c r="P439" s="14" t="n">
        <v>1</v>
      </c>
      <c r="Q439" s="14"/>
      <c r="R439" s="14" t="n">
        <v>1.4</v>
      </c>
      <c r="S439" s="14" t="n">
        <v>89.46</v>
      </c>
      <c r="T439" s="14" t="n">
        <v>0.9</v>
      </c>
      <c r="U439" s="14" t="n">
        <v>10</v>
      </c>
      <c r="V439" s="14" t="n">
        <v>21.16</v>
      </c>
      <c r="W439" s="14" t="n">
        <v>121.52</v>
      </c>
      <c r="X439" s="14" t="n">
        <v>195</v>
      </c>
      <c r="Y439" s="14" t="n">
        <v>73.48</v>
      </c>
      <c r="Z439" s="14" t="n">
        <v>2.92</v>
      </c>
      <c r="AA439" s="14" t="n">
        <v>0</v>
      </c>
      <c r="AB439" s="14" t="n">
        <v>0</v>
      </c>
      <c r="AC439" s="14" t="n">
        <v>0</v>
      </c>
      <c r="AD439" s="15" t="n">
        <f aca="false">H439*E439/1000</f>
        <v>0</v>
      </c>
      <c r="AE439" s="15" t="n">
        <f aca="false">I439*E439/1000</f>
        <v>0</v>
      </c>
      <c r="AF439" s="16" t="n">
        <f aca="false">ROUND(S439+T439+U439+V439-W439,2)</f>
        <v>0</v>
      </c>
      <c r="AG439" s="16" t="n">
        <f aca="false">ROUND(X439-W439-Y439,2)</f>
        <v>0</v>
      </c>
    </row>
    <row r="440" customFormat="false" ht="15" hidden="false" customHeight="false" outlineLevel="0" collapsed="false">
      <c r="A440" s="13" t="s">
        <v>305</v>
      </c>
      <c r="B440" s="13" t="s">
        <v>297</v>
      </c>
      <c r="C440" s="13" t="s">
        <v>219</v>
      </c>
      <c r="D440" s="13" t="s">
        <v>326</v>
      </c>
      <c r="E440" s="14" t="n">
        <v>42</v>
      </c>
      <c r="F440" s="14" t="n">
        <v>2</v>
      </c>
      <c r="G440" s="14" t="n">
        <v>0.08</v>
      </c>
      <c r="H440" s="14" t="n">
        <v>2</v>
      </c>
      <c r="I440" s="14"/>
      <c r="J440" s="14" t="n">
        <v>60.78</v>
      </c>
      <c r="K440" s="14" t="n">
        <v>66.63</v>
      </c>
      <c r="L440" s="14" t="n">
        <v>1.58</v>
      </c>
      <c r="M440" s="14" t="n">
        <v>12.19</v>
      </c>
      <c r="N440" s="14" t="n">
        <v>2.5</v>
      </c>
      <c r="O440" s="14"/>
      <c r="P440" s="14" t="n">
        <v>1</v>
      </c>
      <c r="Q440" s="14"/>
      <c r="R440" s="14" t="n">
        <v>1.4</v>
      </c>
      <c r="S440" s="14" t="n">
        <v>85.3</v>
      </c>
      <c r="T440" s="14" t="n">
        <v>0.9</v>
      </c>
      <c r="U440" s="14" t="n">
        <v>10</v>
      </c>
      <c r="V440" s="14" t="n">
        <v>21.16</v>
      </c>
      <c r="W440" s="14" t="n">
        <v>117.37</v>
      </c>
      <c r="X440" s="14" t="n">
        <v>178</v>
      </c>
      <c r="Y440" s="14" t="n">
        <v>60.63</v>
      </c>
      <c r="Z440" s="14" t="n">
        <v>-0.04</v>
      </c>
      <c r="AA440" s="14" t="n">
        <v>0.04</v>
      </c>
      <c r="AB440" s="14" t="n">
        <v>0</v>
      </c>
      <c r="AC440" s="14" t="n">
        <v>0.05</v>
      </c>
      <c r="AD440" s="15" t="n">
        <f aca="false">H440*E440/1000</f>
        <v>0.084</v>
      </c>
      <c r="AE440" s="15" t="n">
        <f aca="false">I440*E440/1000</f>
        <v>0</v>
      </c>
      <c r="AF440" s="16" t="n">
        <f aca="false">ROUND(S440+T440+U440+V440-W440,2)</f>
        <v>-0.01</v>
      </c>
      <c r="AG440" s="16" t="n">
        <f aca="false">ROUND(X440-W440-Y440,2)</f>
        <v>0</v>
      </c>
    </row>
    <row r="441" customFormat="false" ht="15" hidden="false" customHeight="false" outlineLevel="0" collapsed="false">
      <c r="A441" s="13" t="s">
        <v>305</v>
      </c>
      <c r="B441" s="13" t="s">
        <v>297</v>
      </c>
      <c r="C441" s="13" t="s">
        <v>219</v>
      </c>
      <c r="D441" s="13" t="s">
        <v>327</v>
      </c>
      <c r="E441" s="14" t="n">
        <v>15.5</v>
      </c>
      <c r="F441" s="14" t="n">
        <v>114</v>
      </c>
      <c r="G441" s="14" t="n">
        <v>1.77</v>
      </c>
      <c r="H441" s="14"/>
      <c r="I441" s="14"/>
      <c r="J441" s="14" t="n">
        <v>59.98</v>
      </c>
      <c r="K441" s="14" t="n">
        <v>66.69</v>
      </c>
      <c r="L441" s="14" t="n">
        <v>1.6</v>
      </c>
      <c r="M441" s="14" t="n">
        <v>15.57</v>
      </c>
      <c r="N441" s="14" t="n">
        <v>2.5</v>
      </c>
      <c r="O441" s="14"/>
      <c r="P441" s="14" t="n">
        <v>1</v>
      </c>
      <c r="Q441" s="14"/>
      <c r="R441" s="14" t="n">
        <v>1.4</v>
      </c>
      <c r="S441" s="14" t="n">
        <v>88.76</v>
      </c>
      <c r="T441" s="14" t="n">
        <v>0.9</v>
      </c>
      <c r="U441" s="14" t="n">
        <v>10</v>
      </c>
      <c r="V441" s="14" t="n">
        <v>21.32</v>
      </c>
      <c r="W441" s="14" t="n">
        <v>120.97</v>
      </c>
      <c r="X441" s="14" t="n">
        <v>195</v>
      </c>
      <c r="Y441" s="14" t="n">
        <v>74.03</v>
      </c>
      <c r="Z441" s="14" t="n">
        <v>1.31</v>
      </c>
      <c r="AA441" s="14" t="n">
        <v>0</v>
      </c>
      <c r="AB441" s="14" t="n">
        <v>0</v>
      </c>
      <c r="AC441" s="14" t="n">
        <v>0</v>
      </c>
      <c r="AD441" s="15" t="n">
        <f aca="false">H441*E441/1000</f>
        <v>0</v>
      </c>
      <c r="AE441" s="15" t="n">
        <f aca="false">I441*E441/1000</f>
        <v>0</v>
      </c>
      <c r="AF441" s="16" t="n">
        <f aca="false">ROUND(S441+T441+U441+V441-W441,2)</f>
        <v>0.01</v>
      </c>
      <c r="AG441" s="16" t="n">
        <f aca="false">ROUND(X441-W441-Y441,2)</f>
        <v>0</v>
      </c>
    </row>
    <row r="442" customFormat="false" ht="15" hidden="false" customHeight="false" outlineLevel="0" collapsed="false">
      <c r="A442" s="13" t="s">
        <v>305</v>
      </c>
      <c r="B442" s="13" t="s">
        <v>297</v>
      </c>
      <c r="C442" s="13" t="s">
        <v>219</v>
      </c>
      <c r="D442" s="13" t="s">
        <v>328</v>
      </c>
      <c r="E442" s="14" t="n">
        <v>20</v>
      </c>
      <c r="F442" s="14" t="n">
        <v>288</v>
      </c>
      <c r="G442" s="14" t="n">
        <v>5.76</v>
      </c>
      <c r="H442" s="14"/>
      <c r="I442" s="14"/>
      <c r="J442" s="14" t="n">
        <v>59.72</v>
      </c>
      <c r="K442" s="14" t="n">
        <v>66.71</v>
      </c>
      <c r="L442" s="14" t="n">
        <v>1.61</v>
      </c>
      <c r="M442" s="14" t="n">
        <v>14.37</v>
      </c>
      <c r="N442" s="14" t="n">
        <v>2.5</v>
      </c>
      <c r="O442" s="14"/>
      <c r="P442" s="14" t="n">
        <v>1</v>
      </c>
      <c r="Q442" s="14"/>
      <c r="R442" s="14" t="n">
        <v>1.4</v>
      </c>
      <c r="S442" s="14" t="n">
        <v>87.59</v>
      </c>
      <c r="T442" s="14" t="n">
        <v>0.9</v>
      </c>
      <c r="U442" s="14" t="n">
        <v>10</v>
      </c>
      <c r="V442" s="14" t="n">
        <v>21.37</v>
      </c>
      <c r="W442" s="14" t="n">
        <v>119.86</v>
      </c>
      <c r="X442" s="14" t="n">
        <v>195</v>
      </c>
      <c r="Y442" s="14" t="n">
        <v>75.14</v>
      </c>
      <c r="Z442" s="14" t="n">
        <v>4.33</v>
      </c>
      <c r="AA442" s="14" t="n">
        <v>0</v>
      </c>
      <c r="AB442" s="14" t="n">
        <v>0</v>
      </c>
      <c r="AC442" s="14" t="n">
        <v>0</v>
      </c>
      <c r="AD442" s="15" t="n">
        <f aca="false">H442*E442/1000</f>
        <v>0</v>
      </c>
      <c r="AE442" s="15" t="n">
        <f aca="false">I442*E442/1000</f>
        <v>0</v>
      </c>
      <c r="AF442" s="16" t="n">
        <f aca="false">ROUND(S442+T442+U442+V442-W442,2)</f>
        <v>0</v>
      </c>
      <c r="AG442" s="16" t="n">
        <f aca="false">ROUND(X442-W442-Y442,2)</f>
        <v>0</v>
      </c>
    </row>
    <row r="443" customFormat="false" ht="15" hidden="false" customHeight="false" outlineLevel="0" collapsed="false">
      <c r="A443" s="13" t="s">
        <v>305</v>
      </c>
      <c r="B443" s="13" t="s">
        <v>297</v>
      </c>
      <c r="C443" s="13" t="s">
        <v>219</v>
      </c>
      <c r="D443" s="13" t="s">
        <v>329</v>
      </c>
      <c r="E443" s="14" t="n">
        <v>19.5</v>
      </c>
      <c r="F443" s="14" t="n">
        <v>258</v>
      </c>
      <c r="G443" s="14" t="n">
        <v>5.03</v>
      </c>
      <c r="H443" s="14"/>
      <c r="I443" s="14"/>
      <c r="J443" s="14" t="n">
        <v>65.55</v>
      </c>
      <c r="K443" s="14" t="n">
        <v>66.34</v>
      </c>
      <c r="L443" s="14" t="n">
        <v>1.46</v>
      </c>
      <c r="M443" s="14" t="n">
        <v>14.34</v>
      </c>
      <c r="N443" s="14" t="n">
        <v>2.5</v>
      </c>
      <c r="O443" s="14"/>
      <c r="P443" s="14" t="n">
        <v>1</v>
      </c>
      <c r="Q443" s="14"/>
      <c r="R443" s="14" t="n">
        <v>1.4</v>
      </c>
      <c r="S443" s="14" t="n">
        <v>87.03</v>
      </c>
      <c r="T443" s="14" t="n">
        <v>0.9</v>
      </c>
      <c r="U443" s="14" t="n">
        <v>10</v>
      </c>
      <c r="V443" s="14" t="n">
        <v>20.31</v>
      </c>
      <c r="W443" s="14" t="n">
        <v>118.25</v>
      </c>
      <c r="X443" s="14" t="n">
        <v>195</v>
      </c>
      <c r="Y443" s="14" t="n">
        <v>76.75</v>
      </c>
      <c r="Z443" s="14" t="n">
        <v>3.86</v>
      </c>
      <c r="AA443" s="14" t="n">
        <v>0</v>
      </c>
      <c r="AB443" s="14" t="n">
        <v>0</v>
      </c>
      <c r="AC443" s="14" t="n">
        <v>0</v>
      </c>
      <c r="AD443" s="15" t="n">
        <f aca="false">H443*E443/1000</f>
        <v>0</v>
      </c>
      <c r="AE443" s="15" t="n">
        <f aca="false">I443*E443/1000</f>
        <v>0</v>
      </c>
      <c r="AF443" s="16" t="n">
        <f aca="false">ROUND(S443+T443+U443+V443-W443,2)</f>
        <v>-0.01</v>
      </c>
      <c r="AG443" s="16" t="n">
        <f aca="false">ROUND(X443-W443-Y443,2)</f>
        <v>0</v>
      </c>
    </row>
    <row r="444" customFormat="false" ht="15" hidden="false" customHeight="false" outlineLevel="0" collapsed="false">
      <c r="A444" s="13" t="s">
        <v>305</v>
      </c>
      <c r="B444" s="13" t="s">
        <v>297</v>
      </c>
      <c r="C444" s="13" t="s">
        <v>226</v>
      </c>
      <c r="D444" s="13" t="s">
        <v>325</v>
      </c>
      <c r="E444" s="14" t="n">
        <v>15.5</v>
      </c>
      <c r="F444" s="14" t="n">
        <v>56</v>
      </c>
      <c r="G444" s="14" t="n">
        <v>0.87</v>
      </c>
      <c r="H444" s="14"/>
      <c r="I444" s="14"/>
      <c r="J444" s="14" t="n">
        <v>60.78</v>
      </c>
      <c r="K444" s="14" t="n">
        <v>67.83</v>
      </c>
      <c r="L444" s="14" t="n">
        <v>1.58</v>
      </c>
      <c r="M444" s="14" t="n">
        <v>17.43</v>
      </c>
      <c r="N444" s="14" t="n">
        <v>2.5</v>
      </c>
      <c r="O444" s="14"/>
      <c r="P444" s="14" t="n">
        <v>1</v>
      </c>
      <c r="Q444" s="14"/>
      <c r="R444" s="14" t="n">
        <v>1.4</v>
      </c>
      <c r="S444" s="14" t="n">
        <v>91.74</v>
      </c>
      <c r="T444" s="14" t="n">
        <v>0.9</v>
      </c>
      <c r="U444" s="14" t="n">
        <v>13</v>
      </c>
      <c r="V444" s="14" t="n">
        <v>21.16</v>
      </c>
      <c r="W444" s="14" t="n">
        <v>126.8</v>
      </c>
      <c r="X444" s="14" t="n">
        <v>195</v>
      </c>
      <c r="Y444" s="14" t="n">
        <v>68.2</v>
      </c>
      <c r="Z444" s="14" t="n">
        <v>0.59</v>
      </c>
      <c r="AA444" s="14" t="n">
        <v>0</v>
      </c>
      <c r="AB444" s="14" t="n">
        <v>0</v>
      </c>
      <c r="AC444" s="14" t="n">
        <v>0</v>
      </c>
      <c r="AD444" s="15" t="n">
        <f aca="false">H444*E444/1000</f>
        <v>0</v>
      </c>
      <c r="AE444" s="15" t="n">
        <f aca="false">I444*E444/1000</f>
        <v>0</v>
      </c>
      <c r="AF444" s="16" t="n">
        <f aca="false">ROUND(S444+T444+U444+V444-W444,2)</f>
        <v>0</v>
      </c>
      <c r="AG444" s="16" t="n">
        <f aca="false">ROUND(X444-W444-Y444,2)</f>
        <v>0</v>
      </c>
    </row>
    <row r="445" customFormat="false" ht="15" hidden="false" customHeight="false" outlineLevel="0" collapsed="false">
      <c r="A445" s="13" t="s">
        <v>305</v>
      </c>
      <c r="B445" s="13" t="s">
        <v>297</v>
      </c>
      <c r="C445" s="13" t="s">
        <v>226</v>
      </c>
      <c r="D445" s="13" t="s">
        <v>327</v>
      </c>
      <c r="E445" s="14" t="n">
        <v>15.5</v>
      </c>
      <c r="F445" s="14" t="n">
        <v>12</v>
      </c>
      <c r="G445" s="14" t="n">
        <v>0.19</v>
      </c>
      <c r="H445" s="14"/>
      <c r="I445" s="14"/>
      <c r="J445" s="14" t="n">
        <v>59.98</v>
      </c>
      <c r="K445" s="14" t="n">
        <v>67.88</v>
      </c>
      <c r="L445" s="14" t="n">
        <v>1.6</v>
      </c>
      <c r="M445" s="14" t="n">
        <v>16.58</v>
      </c>
      <c r="N445" s="14" t="n">
        <v>2.5</v>
      </c>
      <c r="O445" s="14"/>
      <c r="P445" s="14" t="n">
        <v>1</v>
      </c>
      <c r="Q445" s="14"/>
      <c r="R445" s="14" t="n">
        <v>1.4</v>
      </c>
      <c r="S445" s="14" t="n">
        <v>90.97</v>
      </c>
      <c r="T445" s="14" t="n">
        <v>0.9</v>
      </c>
      <c r="U445" s="14" t="n">
        <v>13</v>
      </c>
      <c r="V445" s="14" t="n">
        <v>21.32</v>
      </c>
      <c r="W445" s="14" t="n">
        <v>126.19</v>
      </c>
      <c r="X445" s="14" t="n">
        <v>195</v>
      </c>
      <c r="Y445" s="14" t="n">
        <v>68.81</v>
      </c>
      <c r="Z445" s="14" t="n">
        <v>0.13</v>
      </c>
      <c r="AA445" s="14" t="n">
        <v>0</v>
      </c>
      <c r="AB445" s="14" t="n">
        <v>0</v>
      </c>
      <c r="AC445" s="14" t="n">
        <v>0</v>
      </c>
      <c r="AD445" s="15" t="n">
        <f aca="false">H445*E445/1000</f>
        <v>0</v>
      </c>
      <c r="AE445" s="15" t="n">
        <f aca="false">I445*E445/1000</f>
        <v>0</v>
      </c>
      <c r="AF445" s="16" t="n">
        <f aca="false">ROUND(S445+T445+U445+V445-W445,2)</f>
        <v>0</v>
      </c>
      <c r="AG445" s="16" t="n">
        <f aca="false">ROUND(X445-W445-Y445,2)</f>
        <v>0</v>
      </c>
    </row>
    <row r="446" customFormat="false" ht="15" hidden="false" customHeight="false" outlineLevel="0" collapsed="false">
      <c r="A446" s="13" t="s">
        <v>305</v>
      </c>
      <c r="B446" s="13" t="s">
        <v>297</v>
      </c>
      <c r="C446" s="13" t="s">
        <v>226</v>
      </c>
      <c r="D446" s="13" t="s">
        <v>328</v>
      </c>
      <c r="E446" s="14" t="n">
        <v>20</v>
      </c>
      <c r="F446" s="14" t="n">
        <v>12</v>
      </c>
      <c r="G446" s="14" t="n">
        <v>0.24</v>
      </c>
      <c r="H446" s="14"/>
      <c r="I446" s="14"/>
      <c r="J446" s="14" t="n">
        <v>59.72</v>
      </c>
      <c r="K446" s="14" t="n">
        <v>67.9</v>
      </c>
      <c r="L446" s="14" t="n">
        <v>1.61</v>
      </c>
      <c r="M446" s="14" t="n">
        <v>15.32</v>
      </c>
      <c r="N446" s="14" t="n">
        <v>2.5</v>
      </c>
      <c r="O446" s="14"/>
      <c r="P446" s="14" t="n">
        <v>1</v>
      </c>
      <c r="Q446" s="14"/>
      <c r="R446" s="14" t="n">
        <v>1.4</v>
      </c>
      <c r="S446" s="14" t="n">
        <v>89.73</v>
      </c>
      <c r="T446" s="14" t="n">
        <v>0.9</v>
      </c>
      <c r="U446" s="14" t="n">
        <v>13</v>
      </c>
      <c r="V446" s="14" t="n">
        <v>21.37</v>
      </c>
      <c r="W446" s="14" t="n">
        <v>125.01</v>
      </c>
      <c r="X446" s="14" t="n">
        <v>195</v>
      </c>
      <c r="Y446" s="14" t="n">
        <v>69.99</v>
      </c>
      <c r="Z446" s="14" t="n">
        <v>0.17</v>
      </c>
      <c r="AA446" s="14" t="n">
        <v>0</v>
      </c>
      <c r="AB446" s="14" t="n">
        <v>0</v>
      </c>
      <c r="AC446" s="14" t="n">
        <v>0</v>
      </c>
      <c r="AD446" s="15" t="n">
        <f aca="false">H446*E446/1000</f>
        <v>0</v>
      </c>
      <c r="AE446" s="15" t="n">
        <f aca="false">I446*E446/1000</f>
        <v>0</v>
      </c>
      <c r="AF446" s="16" t="n">
        <f aca="false">ROUND(S446+T446+U446+V446-W446,2)</f>
        <v>-0.01</v>
      </c>
      <c r="AG446" s="16" t="n">
        <f aca="false">ROUND(X446-W446-Y446,2)</f>
        <v>0</v>
      </c>
    </row>
    <row r="447" customFormat="false" ht="15" hidden="false" customHeight="false" outlineLevel="0" collapsed="false">
      <c r="A447" s="13" t="s">
        <v>305</v>
      </c>
      <c r="B447" s="13" t="s">
        <v>297</v>
      </c>
      <c r="C447" s="13" t="s">
        <v>226</v>
      </c>
      <c r="D447" s="13" t="s">
        <v>329</v>
      </c>
      <c r="E447" s="14" t="n">
        <v>19.5</v>
      </c>
      <c r="F447" s="14" t="n">
        <v>36</v>
      </c>
      <c r="G447" s="14" t="n">
        <v>0.7</v>
      </c>
      <c r="H447" s="14"/>
      <c r="I447" s="14"/>
      <c r="J447" s="14" t="n">
        <v>65.55</v>
      </c>
      <c r="K447" s="14" t="n">
        <v>67.52</v>
      </c>
      <c r="L447" s="14" t="n">
        <v>1.46</v>
      </c>
      <c r="M447" s="14" t="n">
        <v>15.31</v>
      </c>
      <c r="N447" s="14" t="n">
        <v>2.5</v>
      </c>
      <c r="O447" s="14"/>
      <c r="P447" s="14" t="n">
        <v>1</v>
      </c>
      <c r="Q447" s="14"/>
      <c r="R447" s="14" t="n">
        <v>1.4</v>
      </c>
      <c r="S447" s="14" t="n">
        <v>89.19</v>
      </c>
      <c r="T447" s="14" t="n">
        <v>0.9</v>
      </c>
      <c r="U447" s="14" t="n">
        <v>13</v>
      </c>
      <c r="V447" s="14" t="n">
        <v>20.31</v>
      </c>
      <c r="W447" s="14" t="n">
        <v>123.41</v>
      </c>
      <c r="X447" s="14" t="n">
        <v>195</v>
      </c>
      <c r="Y447" s="14" t="n">
        <v>71.59</v>
      </c>
      <c r="Z447" s="14" t="n">
        <v>0.5</v>
      </c>
      <c r="AA447" s="14" t="n">
        <v>0</v>
      </c>
      <c r="AB447" s="14" t="n">
        <v>0</v>
      </c>
      <c r="AC447" s="14" t="n">
        <v>0</v>
      </c>
      <c r="AD447" s="15" t="n">
        <f aca="false">H447*E447/1000</f>
        <v>0</v>
      </c>
      <c r="AE447" s="15" t="n">
        <f aca="false">I447*E447/1000</f>
        <v>0</v>
      </c>
      <c r="AF447" s="16" t="n">
        <f aca="false">ROUND(S447+T447+U447+V447-W447,2)</f>
        <v>-0.01</v>
      </c>
      <c r="AG447" s="16" t="n">
        <f aca="false">ROUND(X447-W447-Y447,2)</f>
        <v>0</v>
      </c>
    </row>
    <row r="448" customFormat="false" ht="15" hidden="false" customHeight="false" outlineLevel="0" collapsed="false">
      <c r="A448" s="13" t="s">
        <v>305</v>
      </c>
      <c r="B448" s="13" t="s">
        <v>297</v>
      </c>
      <c r="C448" s="13" t="s">
        <v>263</v>
      </c>
      <c r="D448" s="13" t="s">
        <v>308</v>
      </c>
      <c r="E448" s="14" t="n">
        <v>56</v>
      </c>
      <c r="F448" s="14" t="n">
        <v>40</v>
      </c>
      <c r="G448" s="14" t="n">
        <v>2.24</v>
      </c>
      <c r="H448" s="14"/>
      <c r="I448" s="14"/>
      <c r="J448" s="14" t="n">
        <v>64.07</v>
      </c>
      <c r="K448" s="14" t="n">
        <v>68.77</v>
      </c>
      <c r="L448" s="14" t="n">
        <v>1.5</v>
      </c>
      <c r="M448" s="14" t="n">
        <v>11.38</v>
      </c>
      <c r="N448" s="14" t="n">
        <v>5</v>
      </c>
      <c r="O448" s="14"/>
      <c r="P448" s="14" t="n">
        <v>1</v>
      </c>
      <c r="Q448" s="14"/>
      <c r="R448" s="14" t="n">
        <v>1.4</v>
      </c>
      <c r="S448" s="14" t="n">
        <v>89.05</v>
      </c>
      <c r="T448" s="14" t="n">
        <v>0.9</v>
      </c>
      <c r="U448" s="14" t="n">
        <v>13</v>
      </c>
      <c r="V448" s="14" t="n">
        <v>19.45</v>
      </c>
      <c r="W448" s="14" t="n">
        <v>122.4</v>
      </c>
      <c r="X448" s="14" t="n">
        <v>195</v>
      </c>
      <c r="Y448" s="14" t="n">
        <v>72.6</v>
      </c>
      <c r="Z448" s="14" t="n">
        <v>1.63</v>
      </c>
      <c r="AA448" s="14" t="n">
        <v>0</v>
      </c>
      <c r="AB448" s="14" t="n">
        <v>0</v>
      </c>
      <c r="AC448" s="14" t="n">
        <v>0</v>
      </c>
      <c r="AD448" s="15" t="n">
        <f aca="false">H448*E448/1000</f>
        <v>0</v>
      </c>
      <c r="AE448" s="15" t="n">
        <f aca="false">I448*E448/1000</f>
        <v>0</v>
      </c>
      <c r="AF448" s="16" t="n">
        <f aca="false">ROUND(S448+T448+U448+V448-W448,2)</f>
        <v>0</v>
      </c>
      <c r="AG448" s="16" t="n">
        <f aca="false">ROUND(X448-W448-Y448,2)</f>
        <v>0</v>
      </c>
    </row>
    <row r="449" customFormat="false" ht="15" hidden="false" customHeight="false" outlineLevel="0" collapsed="false">
      <c r="A449" s="13" t="s">
        <v>305</v>
      </c>
      <c r="B449" s="13" t="s">
        <v>297</v>
      </c>
      <c r="C449" s="13" t="s">
        <v>263</v>
      </c>
      <c r="D449" s="13" t="s">
        <v>309</v>
      </c>
      <c r="E449" s="14" t="n">
        <v>50</v>
      </c>
      <c r="F449" s="14" t="n">
        <v>40</v>
      </c>
      <c r="G449" s="14" t="n">
        <v>2</v>
      </c>
      <c r="H449" s="14"/>
      <c r="I449" s="14"/>
      <c r="J449" s="14" t="n">
        <v>67.02</v>
      </c>
      <c r="K449" s="14" t="n">
        <v>68.59</v>
      </c>
      <c r="L449" s="14" t="n">
        <v>1.43</v>
      </c>
      <c r="M449" s="14" t="n">
        <v>11.38</v>
      </c>
      <c r="N449" s="14" t="n">
        <v>5</v>
      </c>
      <c r="O449" s="14"/>
      <c r="P449" s="14" t="n">
        <v>1</v>
      </c>
      <c r="Q449" s="14"/>
      <c r="R449" s="14" t="n">
        <v>1.4</v>
      </c>
      <c r="S449" s="14" t="n">
        <v>88.81</v>
      </c>
      <c r="T449" s="14" t="n">
        <v>0.9</v>
      </c>
      <c r="U449" s="14" t="n">
        <v>13</v>
      </c>
      <c r="V449" s="14" t="n">
        <v>18.99</v>
      </c>
      <c r="W449" s="14" t="n">
        <v>121.7</v>
      </c>
      <c r="X449" s="14" t="n">
        <v>195</v>
      </c>
      <c r="Y449" s="14" t="n">
        <v>73.3</v>
      </c>
      <c r="Z449" s="14" t="n">
        <v>1.47</v>
      </c>
      <c r="AA449" s="14" t="n">
        <v>0</v>
      </c>
      <c r="AB449" s="14" t="n">
        <v>0</v>
      </c>
      <c r="AC449" s="14" t="n">
        <v>0</v>
      </c>
      <c r="AD449" s="15" t="n">
        <f aca="false">H449*E449/1000</f>
        <v>0</v>
      </c>
      <c r="AE449" s="15" t="n">
        <f aca="false">I449*E449/1000</f>
        <v>0</v>
      </c>
      <c r="AF449" s="16" t="n">
        <f aca="false">ROUND(S449+T449+U449+V449-W449,2)</f>
        <v>0</v>
      </c>
      <c r="AG449" s="16" t="n">
        <f aca="false">ROUND(X449-W449-Y449,2)</f>
        <v>0</v>
      </c>
    </row>
    <row r="450" customFormat="false" ht="15" hidden="false" customHeight="false" outlineLevel="0" collapsed="false">
      <c r="A450" s="13" t="s">
        <v>305</v>
      </c>
      <c r="B450" s="13" t="s">
        <v>297</v>
      </c>
      <c r="C450" s="13" t="s">
        <v>263</v>
      </c>
      <c r="D450" s="13" t="s">
        <v>330</v>
      </c>
      <c r="E450" s="14" t="n">
        <v>45</v>
      </c>
      <c r="F450" s="14" t="n">
        <v>612</v>
      </c>
      <c r="G450" s="14" t="n">
        <v>27.54</v>
      </c>
      <c r="H450" s="14"/>
      <c r="I450" s="14"/>
      <c r="J450" s="14" t="n">
        <v>72.92</v>
      </c>
      <c r="K450" s="14" t="n">
        <v>68.28</v>
      </c>
      <c r="L450" s="14" t="n">
        <v>1.32</v>
      </c>
      <c r="M450" s="14" t="n">
        <v>13.86</v>
      </c>
      <c r="N450" s="14" t="n">
        <v>5</v>
      </c>
      <c r="O450" s="14"/>
      <c r="P450" s="14" t="n">
        <v>1</v>
      </c>
      <c r="Q450" s="14"/>
      <c r="R450" s="14" t="n">
        <v>1.4</v>
      </c>
      <c r="S450" s="14" t="n">
        <v>90.86</v>
      </c>
      <c r="T450" s="14" t="n">
        <v>0.9</v>
      </c>
      <c r="U450" s="14" t="n">
        <v>13</v>
      </c>
      <c r="V450" s="14" t="n">
        <v>18.18</v>
      </c>
      <c r="W450" s="14" t="n">
        <v>122.94</v>
      </c>
      <c r="X450" s="14" t="n">
        <v>195</v>
      </c>
      <c r="Y450" s="14" t="n">
        <v>72.06</v>
      </c>
      <c r="Z450" s="14" t="n">
        <v>19.85</v>
      </c>
      <c r="AA450" s="14" t="n">
        <v>0</v>
      </c>
      <c r="AB450" s="14" t="n">
        <v>0</v>
      </c>
      <c r="AC450" s="14" t="n">
        <v>0</v>
      </c>
      <c r="AD450" s="15" t="n">
        <f aca="false">H450*E450/1000</f>
        <v>0</v>
      </c>
      <c r="AE450" s="15" t="n">
        <f aca="false">I450*E450/1000</f>
        <v>0</v>
      </c>
      <c r="AF450" s="16" t="n">
        <f aca="false">ROUND(S450+T450+U450+V450-W450,2)</f>
        <v>0</v>
      </c>
      <c r="AG450" s="16" t="n">
        <f aca="false">ROUND(X450-W450-Y450,2)</f>
        <v>0</v>
      </c>
    </row>
    <row r="451" customFormat="false" ht="15" hidden="false" customHeight="false" outlineLevel="0" collapsed="false">
      <c r="A451" s="13" t="s">
        <v>305</v>
      </c>
      <c r="B451" s="13" t="s">
        <v>297</v>
      </c>
      <c r="C451" s="13" t="s">
        <v>263</v>
      </c>
      <c r="D451" s="13" t="s">
        <v>331</v>
      </c>
      <c r="E451" s="14" t="n">
        <v>28.5</v>
      </c>
      <c r="F451" s="14" t="n">
        <v>12</v>
      </c>
      <c r="G451" s="14" t="n">
        <v>0.34</v>
      </c>
      <c r="H451" s="14"/>
      <c r="I451" s="14"/>
      <c r="J451" s="14" t="n">
        <v>62.09</v>
      </c>
      <c r="K451" s="14" t="n">
        <v>68.9</v>
      </c>
      <c r="L451" s="14" t="n">
        <v>1.55</v>
      </c>
      <c r="M451" s="14" t="n">
        <v>15.89</v>
      </c>
      <c r="N451" s="14" t="n">
        <v>5</v>
      </c>
      <c r="O451" s="14"/>
      <c r="P451" s="14" t="n">
        <v>1.2</v>
      </c>
      <c r="Q451" s="14"/>
      <c r="R451" s="14" t="n">
        <v>1.4</v>
      </c>
      <c r="S451" s="14" t="n">
        <v>93.94</v>
      </c>
      <c r="T451" s="14" t="n">
        <v>0.9</v>
      </c>
      <c r="U451" s="14" t="n">
        <v>13</v>
      </c>
      <c r="V451" s="14" t="n">
        <v>19.79</v>
      </c>
      <c r="W451" s="14" t="n">
        <v>127.63</v>
      </c>
      <c r="X451" s="14" t="n">
        <v>210</v>
      </c>
      <c r="Y451" s="14" t="n">
        <v>82.37</v>
      </c>
      <c r="Z451" s="14" t="n">
        <v>0.28</v>
      </c>
      <c r="AA451" s="14" t="n">
        <v>0</v>
      </c>
      <c r="AB451" s="14" t="n">
        <v>0</v>
      </c>
      <c r="AC451" s="14" t="n">
        <v>0</v>
      </c>
      <c r="AD451" s="15" t="n">
        <f aca="false">H451*E451/1000</f>
        <v>0</v>
      </c>
      <c r="AE451" s="15" t="n">
        <f aca="false">I451*E451/1000</f>
        <v>0</v>
      </c>
      <c r="AF451" s="16" t="n">
        <f aca="false">ROUND(S451+T451+U451+V451-W451,2)</f>
        <v>0</v>
      </c>
      <c r="AG451" s="16" t="n">
        <f aca="false">ROUND(X451-W451-Y451,2)</f>
        <v>0</v>
      </c>
    </row>
    <row r="452" customFormat="false" ht="15" hidden="false" customHeight="false" outlineLevel="0" collapsed="false">
      <c r="A452" s="13" t="s">
        <v>305</v>
      </c>
      <c r="B452" s="13" t="s">
        <v>297</v>
      </c>
      <c r="C452" s="13" t="s">
        <v>229</v>
      </c>
      <c r="D452" s="13" t="s">
        <v>308</v>
      </c>
      <c r="E452" s="14" t="n">
        <v>56</v>
      </c>
      <c r="F452" s="14" t="n">
        <v>256</v>
      </c>
      <c r="G452" s="14" t="n">
        <v>14.34</v>
      </c>
      <c r="H452" s="14"/>
      <c r="I452" s="14"/>
      <c r="J452" s="14" t="n">
        <v>64.07</v>
      </c>
      <c r="K452" s="14" t="n">
        <v>70.56</v>
      </c>
      <c r="L452" s="14" t="n">
        <v>1.64</v>
      </c>
      <c r="M452" s="14" t="n">
        <v>10.41</v>
      </c>
      <c r="N452" s="14" t="n">
        <v>5</v>
      </c>
      <c r="O452" s="14"/>
      <c r="P452" s="14" t="n">
        <v>1</v>
      </c>
      <c r="Q452" s="14"/>
      <c r="R452" s="14" t="n">
        <v>1.4</v>
      </c>
      <c r="S452" s="14" t="n">
        <v>90.01</v>
      </c>
      <c r="T452" s="14" t="n">
        <v>0.9</v>
      </c>
      <c r="U452" s="14" t="n">
        <v>13</v>
      </c>
      <c r="V452" s="14" t="n">
        <v>19.45</v>
      </c>
      <c r="W452" s="14" t="n">
        <v>123.36</v>
      </c>
      <c r="X452" s="14" t="n">
        <v>195</v>
      </c>
      <c r="Y452" s="14" t="n">
        <v>71.64</v>
      </c>
      <c r="Z452" s="14" t="n">
        <v>10.27</v>
      </c>
      <c r="AA452" s="14" t="n">
        <v>0</v>
      </c>
      <c r="AB452" s="14" t="n">
        <v>0</v>
      </c>
      <c r="AC452" s="14" t="n">
        <v>0</v>
      </c>
      <c r="AD452" s="15" t="n">
        <f aca="false">H452*E452/1000</f>
        <v>0</v>
      </c>
      <c r="AE452" s="15" t="n">
        <f aca="false">I452*E452/1000</f>
        <v>0</v>
      </c>
      <c r="AF452" s="16" t="n">
        <f aca="false">ROUND(S452+T452+U452+V452-W452,2)</f>
        <v>0</v>
      </c>
      <c r="AG452" s="16" t="n">
        <f aca="false">ROUND(X452-W452-Y452,2)</f>
        <v>0</v>
      </c>
    </row>
    <row r="453" customFormat="false" ht="15" hidden="false" customHeight="false" outlineLevel="0" collapsed="false">
      <c r="A453" s="13" t="s">
        <v>305</v>
      </c>
      <c r="B453" s="13" t="s">
        <v>297</v>
      </c>
      <c r="C453" s="13" t="s">
        <v>229</v>
      </c>
      <c r="D453" s="13" t="s">
        <v>309</v>
      </c>
      <c r="E453" s="14" t="n">
        <v>50</v>
      </c>
      <c r="F453" s="14" t="n">
        <v>256</v>
      </c>
      <c r="G453" s="14" t="n">
        <v>12.8</v>
      </c>
      <c r="H453" s="14"/>
      <c r="I453" s="14"/>
      <c r="J453" s="14" t="n">
        <v>67.02</v>
      </c>
      <c r="K453" s="14" t="n">
        <v>70.37</v>
      </c>
      <c r="L453" s="14" t="n">
        <v>1.57</v>
      </c>
      <c r="M453" s="14" t="n">
        <v>10.41</v>
      </c>
      <c r="N453" s="14" t="n">
        <v>5</v>
      </c>
      <c r="O453" s="14"/>
      <c r="P453" s="14" t="n">
        <v>1</v>
      </c>
      <c r="Q453" s="14"/>
      <c r="R453" s="14" t="n">
        <v>1.4</v>
      </c>
      <c r="S453" s="14" t="n">
        <v>89.75</v>
      </c>
      <c r="T453" s="14" t="n">
        <v>0.9</v>
      </c>
      <c r="U453" s="14" t="n">
        <v>13</v>
      </c>
      <c r="V453" s="14" t="n">
        <v>18.99</v>
      </c>
      <c r="W453" s="14" t="n">
        <v>122.64</v>
      </c>
      <c r="X453" s="14" t="n">
        <v>195</v>
      </c>
      <c r="Y453" s="14" t="n">
        <v>72.36</v>
      </c>
      <c r="Z453" s="14" t="n">
        <v>9.26</v>
      </c>
      <c r="AA453" s="14" t="n">
        <v>0</v>
      </c>
      <c r="AB453" s="14" t="n">
        <v>0</v>
      </c>
      <c r="AC453" s="14" t="n">
        <v>0</v>
      </c>
      <c r="AD453" s="15" t="n">
        <f aca="false">H453*E453/1000</f>
        <v>0</v>
      </c>
      <c r="AE453" s="15" t="n">
        <f aca="false">I453*E453/1000</f>
        <v>0</v>
      </c>
      <c r="AF453" s="16" t="n">
        <f aca="false">ROUND(S453+T453+U453+V453-W453,2)</f>
        <v>0</v>
      </c>
      <c r="AG453" s="16" t="n">
        <f aca="false">ROUND(X453-W453-Y453,2)</f>
        <v>0</v>
      </c>
    </row>
    <row r="454" customFormat="false" ht="15" hidden="false" customHeight="false" outlineLevel="0" collapsed="false">
      <c r="A454" s="13" t="s">
        <v>305</v>
      </c>
      <c r="B454" s="13" t="s">
        <v>297</v>
      </c>
      <c r="C454" s="13" t="s">
        <v>229</v>
      </c>
      <c r="D454" s="13" t="s">
        <v>330</v>
      </c>
      <c r="E454" s="14" t="n">
        <v>45</v>
      </c>
      <c r="F454" s="14" t="n">
        <v>432</v>
      </c>
      <c r="G454" s="14" t="n">
        <v>19.44</v>
      </c>
      <c r="H454" s="14"/>
      <c r="I454" s="14"/>
      <c r="J454" s="14" t="n">
        <v>72.92</v>
      </c>
      <c r="K454" s="14" t="n">
        <v>70.05</v>
      </c>
      <c r="L454" s="14" t="n">
        <v>1.44</v>
      </c>
      <c r="M454" s="14" t="n">
        <v>12.64</v>
      </c>
      <c r="N454" s="14" t="n">
        <v>5</v>
      </c>
      <c r="O454" s="14"/>
      <c r="P454" s="14" t="n">
        <v>1</v>
      </c>
      <c r="Q454" s="14"/>
      <c r="R454" s="14" t="n">
        <v>1.4</v>
      </c>
      <c r="S454" s="14" t="n">
        <v>91.53</v>
      </c>
      <c r="T454" s="14" t="n">
        <v>0.9</v>
      </c>
      <c r="U454" s="14" t="n">
        <v>13</v>
      </c>
      <c r="V454" s="14" t="n">
        <v>18.18</v>
      </c>
      <c r="W454" s="14" t="n">
        <v>123.61</v>
      </c>
      <c r="X454" s="14" t="n">
        <v>195</v>
      </c>
      <c r="Y454" s="14" t="n">
        <v>71.39</v>
      </c>
      <c r="Z454" s="14" t="n">
        <v>13.88</v>
      </c>
      <c r="AA454" s="14" t="n">
        <v>0</v>
      </c>
      <c r="AB454" s="14" t="n">
        <v>0</v>
      </c>
      <c r="AC454" s="14" t="n">
        <v>0</v>
      </c>
      <c r="AD454" s="15" t="n">
        <f aca="false">H454*E454/1000</f>
        <v>0</v>
      </c>
      <c r="AE454" s="15" t="n">
        <f aca="false">I454*E454/1000</f>
        <v>0</v>
      </c>
      <c r="AF454" s="16" t="n">
        <f aca="false">ROUND(S454+T454+U454+V454-W454,2)</f>
        <v>0</v>
      </c>
      <c r="AG454" s="16" t="n">
        <f aca="false">ROUND(X454-W454-Y454,2)</f>
        <v>0</v>
      </c>
    </row>
    <row r="455" customFormat="false" ht="15" hidden="false" customHeight="false" outlineLevel="0" collapsed="false">
      <c r="A455" s="13" t="s">
        <v>305</v>
      </c>
      <c r="B455" s="13" t="s">
        <v>297</v>
      </c>
      <c r="C455" s="13" t="s">
        <v>234</v>
      </c>
      <c r="D455" s="13" t="s">
        <v>308</v>
      </c>
      <c r="E455" s="14" t="n">
        <v>56</v>
      </c>
      <c r="F455" s="14" t="n">
        <v>254</v>
      </c>
      <c r="G455" s="14" t="n">
        <v>14.22</v>
      </c>
      <c r="H455" s="14"/>
      <c r="I455" s="14"/>
      <c r="J455" s="14" t="n">
        <v>48.96</v>
      </c>
      <c r="K455" s="14" t="n">
        <v>70.09</v>
      </c>
      <c r="L455" s="14" t="n">
        <v>2.14</v>
      </c>
      <c r="M455" s="14" t="n">
        <v>8.97</v>
      </c>
      <c r="N455" s="14" t="n">
        <v>5</v>
      </c>
      <c r="O455" s="14"/>
      <c r="P455" s="14" t="n">
        <v>1</v>
      </c>
      <c r="Q455" s="14"/>
      <c r="R455" s="14" t="n">
        <v>1.4</v>
      </c>
      <c r="S455" s="14" t="n">
        <v>88.61</v>
      </c>
      <c r="T455" s="14" t="n">
        <v>50.4</v>
      </c>
      <c r="U455" s="14" t="n">
        <v>13</v>
      </c>
      <c r="V455" s="14" t="n">
        <v>22.69</v>
      </c>
      <c r="W455" s="14" t="n">
        <v>125.2</v>
      </c>
      <c r="X455" s="14" t="n">
        <v>195</v>
      </c>
      <c r="Y455" s="14" t="n">
        <v>69.8</v>
      </c>
      <c r="Z455" s="14" t="n">
        <v>9.93</v>
      </c>
      <c r="AA455" s="14" t="n">
        <v>0</v>
      </c>
      <c r="AB455" s="14" t="n">
        <v>0</v>
      </c>
      <c r="AC455" s="14" t="n">
        <v>0</v>
      </c>
      <c r="AD455" s="15" t="n">
        <f aca="false">H455*E455/1000</f>
        <v>0</v>
      </c>
      <c r="AE455" s="15" t="n">
        <f aca="false">I455*E455/1000</f>
        <v>0</v>
      </c>
      <c r="AF455" s="16" t="n">
        <f aca="false">ROUND(S455+T455+U455+V455-W455,2)</f>
        <v>49.5</v>
      </c>
      <c r="AG455" s="16" t="n">
        <f aca="false">ROUND(X455-W455-Y455,2)</f>
        <v>0</v>
      </c>
    </row>
    <row r="456" customFormat="false" ht="15" hidden="false" customHeight="false" outlineLevel="0" collapsed="false">
      <c r="A456" s="13" t="s">
        <v>305</v>
      </c>
      <c r="B456" s="13" t="s">
        <v>297</v>
      </c>
      <c r="C456" s="13" t="s">
        <v>234</v>
      </c>
      <c r="D456" s="13" t="s">
        <v>309</v>
      </c>
      <c r="E456" s="14" t="n">
        <v>50</v>
      </c>
      <c r="F456" s="14" t="n">
        <v>44</v>
      </c>
      <c r="G456" s="14" t="n">
        <v>2.2</v>
      </c>
      <c r="H456" s="14"/>
      <c r="I456" s="14"/>
      <c r="J456" s="14" t="n">
        <v>67.02</v>
      </c>
      <c r="K456" s="14" t="n">
        <v>68.67</v>
      </c>
      <c r="L456" s="14" t="n">
        <v>1.57</v>
      </c>
      <c r="M456" s="14" t="n">
        <v>9.6</v>
      </c>
      <c r="N456" s="14" t="n">
        <v>5</v>
      </c>
      <c r="O456" s="14"/>
      <c r="P456" s="14" t="n">
        <v>1</v>
      </c>
      <c r="Q456" s="14"/>
      <c r="R456" s="14" t="n">
        <v>1.4</v>
      </c>
      <c r="S456" s="14" t="n">
        <v>87.23</v>
      </c>
      <c r="T456" s="14" t="n">
        <v>45</v>
      </c>
      <c r="U456" s="14" t="n">
        <v>13</v>
      </c>
      <c r="V456" s="14" t="n">
        <v>18.99</v>
      </c>
      <c r="W456" s="14" t="n">
        <v>120.12</v>
      </c>
      <c r="X456" s="14" t="n">
        <v>195</v>
      </c>
      <c r="Y456" s="14" t="n">
        <v>74.88</v>
      </c>
      <c r="Z456" s="14" t="n">
        <v>1.65</v>
      </c>
      <c r="AA456" s="14" t="n">
        <v>0</v>
      </c>
      <c r="AB456" s="14" t="n">
        <v>0</v>
      </c>
      <c r="AC456" s="14" t="n">
        <v>0</v>
      </c>
      <c r="AD456" s="15" t="n">
        <f aca="false">H456*E456/1000</f>
        <v>0</v>
      </c>
      <c r="AE456" s="15" t="n">
        <f aca="false">I456*E456/1000</f>
        <v>0</v>
      </c>
      <c r="AF456" s="16" t="n">
        <f aca="false">ROUND(S456+T456+U456+V456-W456,2)</f>
        <v>44.1</v>
      </c>
      <c r="AG456" s="16" t="n">
        <f aca="false">ROUND(X456-W456-Y456,2)</f>
        <v>0</v>
      </c>
    </row>
    <row r="457" customFormat="false" ht="15" hidden="false" customHeight="false" outlineLevel="0" collapsed="false">
      <c r="A457" s="13" t="s">
        <v>305</v>
      </c>
      <c r="B457" s="13" t="s">
        <v>297</v>
      </c>
      <c r="C457" s="13" t="s">
        <v>234</v>
      </c>
      <c r="D457" s="13" t="s">
        <v>330</v>
      </c>
      <c r="E457" s="14" t="n">
        <v>44.5</v>
      </c>
      <c r="F457" s="14" t="n">
        <v>332</v>
      </c>
      <c r="G457" s="14" t="n">
        <v>14.77</v>
      </c>
      <c r="H457" s="14" t="n">
        <v>1</v>
      </c>
      <c r="I457" s="14"/>
      <c r="J457" s="14" t="n">
        <v>72.11</v>
      </c>
      <c r="K457" s="14" t="n">
        <v>68.39</v>
      </c>
      <c r="L457" s="14" t="n">
        <v>1.46</v>
      </c>
      <c r="M457" s="14" t="n">
        <v>11.19</v>
      </c>
      <c r="N457" s="14" t="n">
        <v>5</v>
      </c>
      <c r="O457" s="14"/>
      <c r="P457" s="14" t="n">
        <v>1</v>
      </c>
      <c r="Q457" s="14"/>
      <c r="R457" s="14" t="n">
        <v>1.4</v>
      </c>
      <c r="S457" s="14" t="n">
        <v>88.44</v>
      </c>
      <c r="T457" s="14" t="n">
        <v>40.05</v>
      </c>
      <c r="U457" s="14" t="n">
        <v>13</v>
      </c>
      <c r="V457" s="14" t="n">
        <v>18.28</v>
      </c>
      <c r="W457" s="14" t="n">
        <v>120.62</v>
      </c>
      <c r="X457" s="14" t="n">
        <v>195</v>
      </c>
      <c r="Y457" s="14" t="n">
        <v>74.38</v>
      </c>
      <c r="Z457" s="14" t="n">
        <v>10.94</v>
      </c>
      <c r="AA457" s="14" t="n">
        <v>0.02</v>
      </c>
      <c r="AB457" s="14" t="n">
        <v>0</v>
      </c>
      <c r="AC457" s="14" t="n">
        <v>0.03</v>
      </c>
      <c r="AD457" s="15" t="n">
        <f aca="false">H457*E457/1000</f>
        <v>0.0445</v>
      </c>
      <c r="AE457" s="15" t="n">
        <f aca="false">I457*E457/1000</f>
        <v>0</v>
      </c>
      <c r="AF457" s="16" t="n">
        <f aca="false">ROUND(S457+T457+U457+V457-W457,2)</f>
        <v>39.15</v>
      </c>
      <c r="AG457" s="16" t="n">
        <f aca="false">ROUND(X457-W457-Y457,2)</f>
        <v>0</v>
      </c>
    </row>
    <row r="458" customFormat="false" ht="15" hidden="false" customHeight="false" outlineLevel="0" collapsed="false">
      <c r="A458" s="13" t="s">
        <v>305</v>
      </c>
      <c r="B458" s="13" t="s">
        <v>297</v>
      </c>
      <c r="C458" s="13" t="s">
        <v>234</v>
      </c>
      <c r="D458" s="13" t="s">
        <v>331</v>
      </c>
      <c r="E458" s="14" t="n">
        <v>28.5</v>
      </c>
      <c r="F458" s="14" t="n">
        <v>1</v>
      </c>
      <c r="G458" s="14" t="n">
        <v>0.03</v>
      </c>
      <c r="H458" s="14"/>
      <c r="I458" s="14"/>
      <c r="J458" s="14" t="n">
        <v>62.09</v>
      </c>
      <c r="K458" s="14" t="n">
        <v>68.97</v>
      </c>
      <c r="L458" s="14" t="n">
        <v>1.69</v>
      </c>
      <c r="M458" s="14" t="n">
        <v>12.81</v>
      </c>
      <c r="N458" s="14" t="n">
        <v>5</v>
      </c>
      <c r="O458" s="14"/>
      <c r="P458" s="14" t="n">
        <v>1</v>
      </c>
      <c r="Q458" s="14"/>
      <c r="R458" s="14" t="n">
        <v>1.4</v>
      </c>
      <c r="S458" s="14" t="n">
        <v>91.07</v>
      </c>
      <c r="T458" s="14" t="n">
        <v>25.65</v>
      </c>
      <c r="U458" s="14" t="n">
        <v>13</v>
      </c>
      <c r="V458" s="14" t="n">
        <v>19.79</v>
      </c>
      <c r="W458" s="14" t="n">
        <v>124.76</v>
      </c>
      <c r="X458" s="14" t="n">
        <v>210</v>
      </c>
      <c r="Y458" s="14" t="n">
        <v>85.24</v>
      </c>
      <c r="Z458" s="14" t="n">
        <v>0.02</v>
      </c>
      <c r="AA458" s="14" t="n">
        <v>0</v>
      </c>
      <c r="AB458" s="14" t="n">
        <v>0</v>
      </c>
      <c r="AC458" s="14" t="n">
        <v>0</v>
      </c>
      <c r="AD458" s="15" t="n">
        <f aca="false">H458*E458/1000</f>
        <v>0</v>
      </c>
      <c r="AE458" s="15" t="n">
        <f aca="false">I458*E458/1000</f>
        <v>0</v>
      </c>
      <c r="AF458" s="16" t="n">
        <f aca="false">ROUND(S458+T458+U458+V458-W458,2)</f>
        <v>24.75</v>
      </c>
      <c r="AG458" s="16" t="n">
        <f aca="false">ROUND(X458-W458-Y458,2)</f>
        <v>0</v>
      </c>
    </row>
    <row r="459" customFormat="false" ht="15" hidden="false" customHeight="false" outlineLevel="0" collapsed="false">
      <c r="A459" s="13" t="s">
        <v>332</v>
      </c>
      <c r="B459" s="13" t="s">
        <v>218</v>
      </c>
      <c r="C459" s="13" t="s">
        <v>219</v>
      </c>
      <c r="D459" s="13" t="s">
        <v>333</v>
      </c>
      <c r="E459" s="14" t="n">
        <v>211</v>
      </c>
      <c r="F459" s="14" t="n">
        <v>53</v>
      </c>
      <c r="G459" s="14" t="n">
        <v>11.183</v>
      </c>
      <c r="H459" s="14"/>
      <c r="I459" s="14"/>
      <c r="J459" s="14" t="n">
        <v>48.82</v>
      </c>
      <c r="K459" s="14" t="n">
        <v>65.71</v>
      </c>
      <c r="L459" s="14" t="n">
        <v>2.7</v>
      </c>
      <c r="M459" s="14" t="n">
        <v>33.44</v>
      </c>
      <c r="N459" s="14" t="n">
        <v>5</v>
      </c>
      <c r="O459" s="14"/>
      <c r="P459" s="14" t="n">
        <v>0.38</v>
      </c>
      <c r="Q459" s="14" t="n">
        <v>0.6</v>
      </c>
      <c r="R459" s="14" t="n">
        <v>0.5</v>
      </c>
      <c r="S459" s="14" t="n">
        <v>108.33</v>
      </c>
      <c r="T459" s="14" t="n">
        <v>4.38</v>
      </c>
      <c r="U459" s="14" t="n">
        <v>12</v>
      </c>
      <c r="V459" s="14" t="n">
        <v>26.48</v>
      </c>
      <c r="W459" s="14" t="n">
        <v>151.19</v>
      </c>
      <c r="X459" s="14" t="n">
        <v>166.12</v>
      </c>
      <c r="Y459" s="14" t="n">
        <v>14.94</v>
      </c>
      <c r="Z459" s="14" t="n">
        <v>1.67</v>
      </c>
      <c r="AA459" s="14" t="n">
        <v>0</v>
      </c>
      <c r="AB459" s="14" t="n">
        <v>0</v>
      </c>
      <c r="AC459" s="14" t="n">
        <v>0</v>
      </c>
      <c r="AD459" s="15" t="n">
        <f aca="false">H459*E459/1000</f>
        <v>0</v>
      </c>
      <c r="AE459" s="15" t="n">
        <f aca="false">I459*E459/1000</f>
        <v>0</v>
      </c>
      <c r="AF459" s="16" t="n">
        <f aca="false">ROUND(S459+T459+U459+V459-W459,2)</f>
        <v>0</v>
      </c>
      <c r="AG459" s="16" t="n">
        <f aca="false">ROUND(X459-W459-Y459,2)</f>
        <v>-0.01</v>
      </c>
    </row>
    <row r="460" customFormat="false" ht="15" hidden="false" customHeight="false" outlineLevel="0" collapsed="false">
      <c r="A460" s="13" t="s">
        <v>334</v>
      </c>
      <c r="B460" s="13" t="s">
        <v>218</v>
      </c>
      <c r="C460" s="13" t="s">
        <v>219</v>
      </c>
      <c r="D460" s="13" t="s">
        <v>335</v>
      </c>
      <c r="E460" s="14" t="n">
        <v>36.8</v>
      </c>
      <c r="F460" s="14" t="n">
        <v>24</v>
      </c>
      <c r="G460" s="14" t="n">
        <v>0.8832</v>
      </c>
      <c r="H460" s="14"/>
      <c r="I460" s="14"/>
      <c r="J460" s="14" t="n">
        <v>53.25</v>
      </c>
      <c r="K460" s="14" t="n">
        <v>64.86</v>
      </c>
      <c r="L460" s="14" t="n">
        <v>2.48</v>
      </c>
      <c r="M460" s="14" t="n">
        <v>22.08</v>
      </c>
      <c r="N460" s="14" t="n">
        <v>5</v>
      </c>
      <c r="O460" s="14"/>
      <c r="P460" s="14" t="n">
        <v>0.38</v>
      </c>
      <c r="Q460" s="14" t="n">
        <v>0.6</v>
      </c>
      <c r="R460" s="14"/>
      <c r="S460" s="14" t="n">
        <v>95.39</v>
      </c>
      <c r="T460" s="14" t="n">
        <v>9.23</v>
      </c>
      <c r="U460" s="14" t="n">
        <v>10</v>
      </c>
      <c r="V460" s="14" t="n">
        <v>25.14</v>
      </c>
      <c r="W460" s="14" t="n">
        <v>139.76</v>
      </c>
      <c r="X460" s="14" t="n">
        <v>189.88</v>
      </c>
      <c r="Y460" s="14" t="n">
        <v>50.12</v>
      </c>
      <c r="Z460" s="14" t="n">
        <v>0.44</v>
      </c>
      <c r="AA460" s="14" t="n">
        <v>0</v>
      </c>
      <c r="AB460" s="14" t="n">
        <v>0</v>
      </c>
      <c r="AC460" s="14" t="n">
        <v>0</v>
      </c>
      <c r="AD460" s="15" t="n">
        <f aca="false">H460*E460/1000</f>
        <v>0</v>
      </c>
      <c r="AE460" s="15" t="n">
        <f aca="false">I460*E460/1000</f>
        <v>0</v>
      </c>
      <c r="AF460" s="16" t="n">
        <f aca="false">ROUND(S460+T460+U460+V460-W460,2)</f>
        <v>0</v>
      </c>
      <c r="AG460" s="16" t="n">
        <f aca="false">ROUND(X460-W460-Y460,2)</f>
        <v>0</v>
      </c>
    </row>
    <row r="461" customFormat="false" ht="15" hidden="false" customHeight="false" outlineLevel="0" collapsed="false">
      <c r="A461" s="13" t="s">
        <v>332</v>
      </c>
      <c r="B461" s="13" t="s">
        <v>218</v>
      </c>
      <c r="C461" s="13" t="s">
        <v>226</v>
      </c>
      <c r="D461" s="13" t="s">
        <v>333</v>
      </c>
      <c r="E461" s="14" t="n">
        <v>211</v>
      </c>
      <c r="F461" s="14" t="n">
        <v>28</v>
      </c>
      <c r="G461" s="14" t="n">
        <v>5.908</v>
      </c>
      <c r="H461" s="14"/>
      <c r="I461" s="14"/>
      <c r="J461" s="14" t="n">
        <v>48.82</v>
      </c>
      <c r="K461" s="14" t="n">
        <v>71.18</v>
      </c>
      <c r="L461" s="14" t="n">
        <v>2.7</v>
      </c>
      <c r="M461" s="14" t="n">
        <v>32.97</v>
      </c>
      <c r="N461" s="14" t="n">
        <v>5</v>
      </c>
      <c r="O461" s="14"/>
      <c r="P461" s="14" t="n">
        <v>0.38</v>
      </c>
      <c r="Q461" s="14" t="n">
        <v>0.6</v>
      </c>
      <c r="R461" s="14" t="n">
        <v>0.5</v>
      </c>
      <c r="S461" s="14" t="n">
        <v>113.33</v>
      </c>
      <c r="T461" s="14" t="n">
        <v>4.38</v>
      </c>
      <c r="U461" s="14" t="n">
        <v>12.2</v>
      </c>
      <c r="V461" s="14" t="n">
        <v>25.95</v>
      </c>
      <c r="W461" s="14" t="n">
        <v>155.86</v>
      </c>
      <c r="X461" s="14" t="n">
        <v>177.48</v>
      </c>
      <c r="Y461" s="14" t="n">
        <v>21.61</v>
      </c>
      <c r="Z461" s="14" t="n">
        <v>1.28</v>
      </c>
      <c r="AA461" s="14" t="n">
        <v>0</v>
      </c>
      <c r="AB461" s="14" t="n">
        <v>0</v>
      </c>
      <c r="AC461" s="14" t="n">
        <v>0</v>
      </c>
      <c r="AD461" s="15" t="n">
        <f aca="false">H461*E461/1000</f>
        <v>0</v>
      </c>
      <c r="AE461" s="15" t="n">
        <f aca="false">I461*E461/1000</f>
        <v>0</v>
      </c>
      <c r="AF461" s="16" t="n">
        <f aca="false">ROUND(S461+T461+U461+V461-W461,2)</f>
        <v>0</v>
      </c>
      <c r="AG461" s="16" t="n">
        <f aca="false">ROUND(X461-W461-Y461,2)</f>
        <v>0.01</v>
      </c>
    </row>
    <row r="462" customFormat="false" ht="15" hidden="false" customHeight="false" outlineLevel="0" collapsed="false">
      <c r="A462" s="13" t="s">
        <v>332</v>
      </c>
      <c r="B462" s="13" t="s">
        <v>218</v>
      </c>
      <c r="C462" s="13" t="s">
        <v>259</v>
      </c>
      <c r="D462" s="13" t="s">
        <v>333</v>
      </c>
      <c r="E462" s="14" t="n">
        <v>211</v>
      </c>
      <c r="F462" s="14" t="n">
        <v>70</v>
      </c>
      <c r="G462" s="14" t="n">
        <v>14.77</v>
      </c>
      <c r="H462" s="14"/>
      <c r="I462" s="14"/>
      <c r="J462" s="14" t="n">
        <v>48.82</v>
      </c>
      <c r="K462" s="14" t="n">
        <v>63.98</v>
      </c>
      <c r="L462" s="14" t="n">
        <v>2.7</v>
      </c>
      <c r="M462" s="14" t="n">
        <v>32.97</v>
      </c>
      <c r="N462" s="14" t="n">
        <v>5</v>
      </c>
      <c r="O462" s="14"/>
      <c r="P462" s="14" t="n">
        <v>0.38</v>
      </c>
      <c r="Q462" s="14" t="n">
        <v>0.6</v>
      </c>
      <c r="R462" s="14" t="n">
        <v>0.5</v>
      </c>
      <c r="S462" s="14" t="n">
        <v>106.13</v>
      </c>
      <c r="T462" s="14" t="n">
        <v>4.38</v>
      </c>
      <c r="U462" s="14" t="n">
        <v>12.2</v>
      </c>
      <c r="V462" s="14" t="n">
        <v>25.92</v>
      </c>
      <c r="W462" s="14" t="n">
        <v>148.62</v>
      </c>
      <c r="X462" s="14" t="n">
        <v>177.48</v>
      </c>
      <c r="Y462" s="14" t="n">
        <v>28.85</v>
      </c>
      <c r="Z462" s="14" t="n">
        <v>4.26</v>
      </c>
      <c r="AA462" s="14" t="n">
        <v>0</v>
      </c>
      <c r="AB462" s="14" t="n">
        <v>0</v>
      </c>
      <c r="AC462" s="14" t="n">
        <v>0</v>
      </c>
      <c r="AD462" s="15" t="n">
        <f aca="false">H462*E462/1000</f>
        <v>0</v>
      </c>
      <c r="AE462" s="15" t="n">
        <f aca="false">I462*E462/1000</f>
        <v>0</v>
      </c>
      <c r="AF462" s="16" t="n">
        <f aca="false">ROUND(S462+T462+U462+V462-W462,2)</f>
        <v>0.01</v>
      </c>
      <c r="AG462" s="16" t="n">
        <f aca="false">ROUND(X462-W462-Y462,2)</f>
        <v>0.01</v>
      </c>
    </row>
    <row r="463" customFormat="false" ht="15" hidden="false" customHeight="false" outlineLevel="0" collapsed="false">
      <c r="A463" s="13" t="s">
        <v>334</v>
      </c>
      <c r="B463" s="13" t="s">
        <v>218</v>
      </c>
      <c r="C463" s="13" t="s">
        <v>259</v>
      </c>
      <c r="D463" s="13" t="s">
        <v>335</v>
      </c>
      <c r="E463" s="14" t="n">
        <v>36.8</v>
      </c>
      <c r="F463" s="14" t="n">
        <v>412</v>
      </c>
      <c r="G463" s="14" t="n">
        <v>15.162</v>
      </c>
      <c r="H463" s="14" t="n">
        <v>1</v>
      </c>
      <c r="I463" s="14"/>
      <c r="J463" s="14" t="n">
        <v>53.25</v>
      </c>
      <c r="K463" s="14" t="n">
        <v>63.15</v>
      </c>
      <c r="L463" s="14" t="n">
        <v>2.48</v>
      </c>
      <c r="M463" s="14" t="n">
        <v>21.72</v>
      </c>
      <c r="N463" s="14" t="n">
        <v>5</v>
      </c>
      <c r="O463" s="14"/>
      <c r="P463" s="14" t="n">
        <v>0.38</v>
      </c>
      <c r="Q463" s="14" t="n">
        <v>0.6</v>
      </c>
      <c r="R463" s="14"/>
      <c r="S463" s="14" t="n">
        <v>93.33</v>
      </c>
      <c r="T463" s="14" t="n">
        <v>9.23</v>
      </c>
      <c r="U463" s="14" t="n">
        <v>10.2</v>
      </c>
      <c r="V463" s="14" t="n">
        <v>24.63</v>
      </c>
      <c r="W463" s="14" t="n">
        <v>137.39</v>
      </c>
      <c r="X463" s="14" t="n">
        <v>202.42</v>
      </c>
      <c r="Y463" s="14" t="n">
        <v>65.04</v>
      </c>
      <c r="Z463" s="14" t="n">
        <v>9.81</v>
      </c>
      <c r="AA463" s="14" t="n">
        <v>0.02</v>
      </c>
      <c r="AB463" s="14" t="n">
        <v>0</v>
      </c>
      <c r="AC463" s="14" t="n">
        <v>0.02</v>
      </c>
      <c r="AD463" s="15" t="n">
        <f aca="false">H463*E463/1000</f>
        <v>0.0368</v>
      </c>
      <c r="AE463" s="15" t="n">
        <f aca="false">I463*E463/1000</f>
        <v>0</v>
      </c>
      <c r="AF463" s="16" t="n">
        <f aca="false">ROUND(S463+T463+U463+V463-W463,2)</f>
        <v>0</v>
      </c>
      <c r="AG463" s="16" t="n">
        <f aca="false">ROUND(X463-W463-Y463,2)</f>
        <v>-0.01</v>
      </c>
    </row>
    <row r="464" customFormat="false" ht="15" hidden="false" customHeight="false" outlineLevel="0" collapsed="false">
      <c r="A464" s="13" t="s">
        <v>332</v>
      </c>
      <c r="B464" s="13" t="s">
        <v>218</v>
      </c>
      <c r="C464" s="13" t="s">
        <v>263</v>
      </c>
      <c r="D464" s="13" t="s">
        <v>333</v>
      </c>
      <c r="E464" s="14" t="n">
        <v>211</v>
      </c>
      <c r="F464" s="14" t="n">
        <v>116</v>
      </c>
      <c r="G464" s="14" t="n">
        <v>24.476</v>
      </c>
      <c r="H464" s="14"/>
      <c r="I464" s="14"/>
      <c r="J464" s="14" t="n">
        <v>48.82</v>
      </c>
      <c r="K464" s="14" t="n">
        <v>62.33</v>
      </c>
      <c r="L464" s="14" t="n">
        <v>2.7</v>
      </c>
      <c r="M464" s="14" t="n">
        <v>32.97</v>
      </c>
      <c r="N464" s="14" t="n">
        <v>5</v>
      </c>
      <c r="O464" s="14"/>
      <c r="P464" s="14" t="n">
        <v>0.38</v>
      </c>
      <c r="Q464" s="14" t="n">
        <v>0.6</v>
      </c>
      <c r="R464" s="14" t="n">
        <v>0.5</v>
      </c>
      <c r="S464" s="14" t="n">
        <v>104.48</v>
      </c>
      <c r="T464" s="14" t="n">
        <v>4.38</v>
      </c>
      <c r="U464" s="14" t="n">
        <v>12.74</v>
      </c>
      <c r="V464" s="14" t="n">
        <v>25.92</v>
      </c>
      <c r="W464" s="14" t="n">
        <v>147.52</v>
      </c>
      <c r="X464" s="14" t="n">
        <v>177.48</v>
      </c>
      <c r="Y464" s="14" t="n">
        <v>29.96</v>
      </c>
      <c r="Z464" s="14" t="n">
        <v>7.33</v>
      </c>
      <c r="AA464" s="14" t="n">
        <v>0</v>
      </c>
      <c r="AB464" s="14" t="n">
        <v>0</v>
      </c>
      <c r="AC464" s="14" t="n">
        <v>0</v>
      </c>
      <c r="AD464" s="15" t="n">
        <f aca="false">H464*E464/1000</f>
        <v>0</v>
      </c>
      <c r="AE464" s="15" t="n">
        <f aca="false">I464*E464/1000</f>
        <v>0</v>
      </c>
      <c r="AF464" s="16" t="n">
        <f aca="false">ROUND(S464+T464+U464+V464-W464,2)</f>
        <v>0</v>
      </c>
      <c r="AG464" s="16" t="n">
        <f aca="false">ROUND(X464-W464-Y464,2)</f>
        <v>0</v>
      </c>
    </row>
    <row r="465" customFormat="false" ht="15" hidden="false" customHeight="false" outlineLevel="0" collapsed="false">
      <c r="A465" s="13" t="s">
        <v>334</v>
      </c>
      <c r="B465" s="13" t="s">
        <v>218</v>
      </c>
      <c r="C465" s="13" t="s">
        <v>263</v>
      </c>
      <c r="D465" s="13" t="s">
        <v>335</v>
      </c>
      <c r="E465" s="14" t="n">
        <v>36.8</v>
      </c>
      <c r="F465" s="14" t="n">
        <v>288</v>
      </c>
      <c r="G465" s="14" t="n">
        <v>10.598</v>
      </c>
      <c r="H465" s="14"/>
      <c r="I465" s="14"/>
      <c r="J465" s="14" t="n">
        <v>53.25</v>
      </c>
      <c r="K465" s="14" t="n">
        <v>61.53</v>
      </c>
      <c r="L465" s="14" t="n">
        <v>2.48</v>
      </c>
      <c r="M465" s="14" t="n">
        <v>21.72</v>
      </c>
      <c r="N465" s="14" t="n">
        <v>5</v>
      </c>
      <c r="O465" s="14"/>
      <c r="P465" s="14" t="n">
        <v>0.38</v>
      </c>
      <c r="Q465" s="14" t="n">
        <v>0.6</v>
      </c>
      <c r="R465" s="14"/>
      <c r="S465" s="14" t="n">
        <v>91.71</v>
      </c>
      <c r="T465" s="14" t="n">
        <v>9.23</v>
      </c>
      <c r="U465" s="14" t="n">
        <v>10.74</v>
      </c>
      <c r="V465" s="14" t="n">
        <v>24.63</v>
      </c>
      <c r="W465" s="14" t="n">
        <v>136.3</v>
      </c>
      <c r="X465" s="14" t="n">
        <v>202.42</v>
      </c>
      <c r="Y465" s="14" t="n">
        <v>66.12</v>
      </c>
      <c r="Z465" s="14" t="n">
        <v>7.01</v>
      </c>
      <c r="AA465" s="14" t="n">
        <v>0</v>
      </c>
      <c r="AB465" s="14" t="n">
        <v>0</v>
      </c>
      <c r="AC465" s="14" t="n">
        <v>0</v>
      </c>
      <c r="AD465" s="15" t="n">
        <f aca="false">H465*E465/1000</f>
        <v>0</v>
      </c>
      <c r="AE465" s="15" t="n">
        <f aca="false">I465*E465/1000</f>
        <v>0</v>
      </c>
      <c r="AF465" s="16" t="n">
        <f aca="false">ROUND(S465+T465+U465+V465-W465,2)</f>
        <v>0.01</v>
      </c>
      <c r="AG465" s="16" t="n">
        <f aca="false">ROUND(X465-W465-Y465,2)</f>
        <v>0</v>
      </c>
    </row>
    <row r="466" customFormat="false" ht="15" hidden="false" customHeight="false" outlineLevel="0" collapsed="false">
      <c r="A466" s="13" t="s">
        <v>332</v>
      </c>
      <c r="B466" s="13" t="s">
        <v>218</v>
      </c>
      <c r="C466" s="13" t="s">
        <v>229</v>
      </c>
      <c r="D466" s="13" t="s">
        <v>333</v>
      </c>
      <c r="E466" s="14" t="n">
        <v>211</v>
      </c>
      <c r="F466" s="14" t="n">
        <v>98</v>
      </c>
      <c r="G466" s="14" t="n">
        <v>20.678</v>
      </c>
      <c r="H466" s="14" t="n">
        <v>2</v>
      </c>
      <c r="I466" s="14"/>
      <c r="J466" s="14" t="n">
        <v>48.82</v>
      </c>
      <c r="K466" s="14" t="n">
        <v>63.36</v>
      </c>
      <c r="L466" s="14" t="n">
        <v>2.7</v>
      </c>
      <c r="M466" s="14" t="n">
        <v>34.27</v>
      </c>
      <c r="N466" s="14" t="n">
        <v>5.54</v>
      </c>
      <c r="O466" s="14"/>
      <c r="P466" s="14" t="n">
        <v>0.38</v>
      </c>
      <c r="Q466" s="14" t="n">
        <v>0.6</v>
      </c>
      <c r="R466" s="14" t="n">
        <v>0.5</v>
      </c>
      <c r="S466" s="14" t="n">
        <v>107.35</v>
      </c>
      <c r="T466" s="14" t="n">
        <v>4.38</v>
      </c>
      <c r="U466" s="14" t="n">
        <v>12.74</v>
      </c>
      <c r="V466" s="14" t="n">
        <v>25.92</v>
      </c>
      <c r="W466" s="14" t="n">
        <v>150.38</v>
      </c>
      <c r="X466" s="14" t="n">
        <v>177.48</v>
      </c>
      <c r="Y466" s="14" t="n">
        <v>27.09</v>
      </c>
      <c r="Z466" s="14" t="n">
        <v>5.16</v>
      </c>
      <c r="AA466" s="14" t="n">
        <v>0.33</v>
      </c>
      <c r="AB466" s="14" t="n">
        <v>0</v>
      </c>
      <c r="AC466" s="14" t="n">
        <v>0.11</v>
      </c>
      <c r="AD466" s="15" t="n">
        <f aca="false">H466*E466/1000</f>
        <v>0.422</v>
      </c>
      <c r="AE466" s="15" t="n">
        <f aca="false">I466*E466/1000</f>
        <v>0</v>
      </c>
      <c r="AF466" s="16" t="n">
        <f aca="false">ROUND(S466+T466+U466+V466-W466,2)</f>
        <v>0.01</v>
      </c>
      <c r="AG466" s="16" t="n">
        <f aca="false">ROUND(X466-W466-Y466,2)</f>
        <v>0.01</v>
      </c>
    </row>
    <row r="467" customFormat="false" ht="15" hidden="false" customHeight="false" outlineLevel="0" collapsed="false">
      <c r="A467" s="13" t="s">
        <v>334</v>
      </c>
      <c r="B467" s="13" t="s">
        <v>218</v>
      </c>
      <c r="C467" s="13" t="s">
        <v>229</v>
      </c>
      <c r="D467" s="13" t="s">
        <v>335</v>
      </c>
      <c r="E467" s="14" t="n">
        <v>36.8</v>
      </c>
      <c r="F467" s="14" t="n">
        <v>208</v>
      </c>
      <c r="G467" s="14" t="n">
        <v>7.6544</v>
      </c>
      <c r="H467" s="14"/>
      <c r="I467" s="14"/>
      <c r="J467" s="14" t="n">
        <v>53.25</v>
      </c>
      <c r="K467" s="14" t="n">
        <v>62.54</v>
      </c>
      <c r="L467" s="14" t="n">
        <v>2.48</v>
      </c>
      <c r="M467" s="14" t="n">
        <v>22.71</v>
      </c>
      <c r="N467" s="14" t="n">
        <v>5.54</v>
      </c>
      <c r="O467" s="14"/>
      <c r="P467" s="14" t="n">
        <v>0.38</v>
      </c>
      <c r="Q467" s="14" t="n">
        <v>0.6</v>
      </c>
      <c r="R467" s="14"/>
      <c r="S467" s="14" t="n">
        <v>94.24</v>
      </c>
      <c r="T467" s="14" t="n">
        <v>9.23</v>
      </c>
      <c r="U467" s="14" t="n">
        <v>10.74</v>
      </c>
      <c r="V467" s="14" t="n">
        <v>24.63</v>
      </c>
      <c r="W467" s="14" t="n">
        <v>138.84</v>
      </c>
      <c r="X467" s="14" t="n">
        <v>202.42</v>
      </c>
      <c r="Y467" s="14" t="n">
        <v>63.59</v>
      </c>
      <c r="Z467" s="14" t="n">
        <v>4.87</v>
      </c>
      <c r="AA467" s="14" t="n">
        <v>0</v>
      </c>
      <c r="AB467" s="14" t="n">
        <v>0</v>
      </c>
      <c r="AC467" s="14" t="n">
        <v>0</v>
      </c>
      <c r="AD467" s="15" t="n">
        <f aca="false">H467*E467/1000</f>
        <v>0</v>
      </c>
      <c r="AE467" s="15" t="n">
        <f aca="false">I467*E467/1000</f>
        <v>0</v>
      </c>
      <c r="AF467" s="16" t="n">
        <f aca="false">ROUND(S467+T467+U467+V467-W467,2)</f>
        <v>0</v>
      </c>
      <c r="AG467" s="16" t="n">
        <f aca="false">ROUND(X467-W467-Y467,2)</f>
        <v>-0.01</v>
      </c>
    </row>
    <row r="468" customFormat="false" ht="15" hidden="false" customHeight="false" outlineLevel="0" collapsed="false">
      <c r="A468" s="13" t="s">
        <v>332</v>
      </c>
      <c r="B468" s="13" t="s">
        <v>218</v>
      </c>
      <c r="C468" s="13" t="s">
        <v>234</v>
      </c>
      <c r="D468" s="13" t="s">
        <v>333</v>
      </c>
      <c r="E468" s="14" t="n">
        <v>211</v>
      </c>
      <c r="F468" s="14" t="n">
        <v>30</v>
      </c>
      <c r="G468" s="14" t="n">
        <v>6.33</v>
      </c>
      <c r="H468" s="14"/>
      <c r="I468" s="14"/>
      <c r="J468" s="14" t="n">
        <v>48.82</v>
      </c>
      <c r="K468" s="14" t="n">
        <v>62.76</v>
      </c>
      <c r="L468" s="14" t="n">
        <v>2.7</v>
      </c>
      <c r="M468" s="14" t="n">
        <v>28.8</v>
      </c>
      <c r="N468" s="14" t="n">
        <v>6</v>
      </c>
      <c r="O468" s="14"/>
      <c r="P468" s="14" t="n">
        <v>0.38</v>
      </c>
      <c r="Q468" s="14" t="n">
        <v>0.6</v>
      </c>
      <c r="R468" s="14" t="n">
        <v>0.5</v>
      </c>
      <c r="S468" s="14" t="n">
        <v>101.74</v>
      </c>
      <c r="T468" s="14" t="n">
        <v>4.38</v>
      </c>
      <c r="U468" s="14" t="n">
        <v>12.74</v>
      </c>
      <c r="V468" s="14" t="n">
        <v>24.39</v>
      </c>
      <c r="W468" s="14" t="n">
        <v>143.25</v>
      </c>
      <c r="X468" s="14" t="n">
        <v>177.48</v>
      </c>
      <c r="Y468" s="14" t="n">
        <v>34.23</v>
      </c>
      <c r="Z468" s="14" t="n">
        <v>2.17</v>
      </c>
      <c r="AA468" s="14" t="n">
        <v>0</v>
      </c>
      <c r="AB468" s="14" t="n">
        <v>0</v>
      </c>
      <c r="AC468" s="14" t="n">
        <v>0</v>
      </c>
      <c r="AD468" s="15" t="n">
        <f aca="false">H468*E468/1000</f>
        <v>0</v>
      </c>
      <c r="AE468" s="15" t="n">
        <f aca="false">I468*E468/1000</f>
        <v>0</v>
      </c>
      <c r="AF468" s="16" t="n">
        <f aca="false">ROUND(S468+T468+U468+V468-W468,2)</f>
        <v>0</v>
      </c>
      <c r="AG468" s="16" t="n">
        <f aca="false">ROUND(X468-W468-Y468,2)</f>
        <v>0</v>
      </c>
    </row>
    <row r="469" customFormat="false" ht="15" hidden="false" customHeight="false" outlineLevel="0" collapsed="false">
      <c r="A469" s="13" t="s">
        <v>334</v>
      </c>
      <c r="B469" s="13" t="s">
        <v>218</v>
      </c>
      <c r="C469" s="13" t="s">
        <v>234</v>
      </c>
      <c r="D469" s="13" t="s">
        <v>335</v>
      </c>
      <c r="E469" s="14" t="n">
        <v>36.8</v>
      </c>
      <c r="F469" s="14" t="n">
        <v>180</v>
      </c>
      <c r="G469" s="14" t="n">
        <v>6.624</v>
      </c>
      <c r="H469" s="14" t="n">
        <v>1</v>
      </c>
      <c r="I469" s="14"/>
      <c r="J469" s="14" t="n">
        <v>53.25</v>
      </c>
      <c r="K469" s="14" t="n">
        <v>61.95</v>
      </c>
      <c r="L469" s="14" t="n">
        <v>2.48</v>
      </c>
      <c r="M469" s="14" t="n">
        <v>18.57</v>
      </c>
      <c r="N469" s="14" t="n">
        <v>6</v>
      </c>
      <c r="O469" s="14"/>
      <c r="P469" s="14" t="n">
        <v>0.38</v>
      </c>
      <c r="Q469" s="14" t="n">
        <v>0.6</v>
      </c>
      <c r="R469" s="14"/>
      <c r="S469" s="14" t="n">
        <v>89.97</v>
      </c>
      <c r="T469" s="14" t="n">
        <v>9.23</v>
      </c>
      <c r="U469" s="14" t="n">
        <v>10.74</v>
      </c>
      <c r="V469" s="14" t="n">
        <v>23.18</v>
      </c>
      <c r="W469" s="14" t="n">
        <v>133.12</v>
      </c>
      <c r="X469" s="14" t="n">
        <v>202.42</v>
      </c>
      <c r="Y469" s="14" t="n">
        <v>69.3</v>
      </c>
      <c r="Z469" s="14" t="n">
        <v>4.54</v>
      </c>
      <c r="AA469" s="14" t="n">
        <v>0.02</v>
      </c>
      <c r="AB469" s="14" t="n">
        <v>0</v>
      </c>
      <c r="AC469" s="14" t="n">
        <v>0.03</v>
      </c>
      <c r="AD469" s="15" t="n">
        <f aca="false">H469*E469/1000</f>
        <v>0.0368</v>
      </c>
      <c r="AE469" s="15" t="n">
        <f aca="false">I469*E469/1000</f>
        <v>0</v>
      </c>
      <c r="AF469" s="16" t="n">
        <f aca="false">ROUND(S469+T469+U469+V469-W469,2)</f>
        <v>0</v>
      </c>
      <c r="AG469" s="16" t="n">
        <f aca="false">ROUND(X469-W469-Y469,2)</f>
        <v>0</v>
      </c>
    </row>
    <row r="470" customFormat="false" ht="15" hidden="false" customHeight="false" outlineLevel="0" collapsed="false">
      <c r="A470" s="13" t="s">
        <v>332</v>
      </c>
      <c r="B470" s="13" t="s">
        <v>218</v>
      </c>
      <c r="C470" s="13" t="s">
        <v>268</v>
      </c>
      <c r="D470" s="13" t="s">
        <v>333</v>
      </c>
      <c r="E470" s="14" t="n">
        <v>211</v>
      </c>
      <c r="F470" s="14" t="n">
        <v>49</v>
      </c>
      <c r="G470" s="14" t="n">
        <v>10.339</v>
      </c>
      <c r="H470" s="14"/>
      <c r="I470" s="14"/>
      <c r="J470" s="14" t="n">
        <v>48.82</v>
      </c>
      <c r="K470" s="14" t="n">
        <v>62.13</v>
      </c>
      <c r="L470" s="14" t="n">
        <v>2.7</v>
      </c>
      <c r="M470" s="14" t="n">
        <v>35.47</v>
      </c>
      <c r="N470" s="14" t="n">
        <v>6</v>
      </c>
      <c r="O470" s="14"/>
      <c r="P470" s="14" t="n">
        <v>0.38</v>
      </c>
      <c r="Q470" s="14" t="n">
        <v>0.6</v>
      </c>
      <c r="R470" s="14" t="n">
        <v>0.5</v>
      </c>
      <c r="S470" s="14" t="n">
        <v>107.78</v>
      </c>
      <c r="T470" s="14" t="n">
        <v>4.38</v>
      </c>
      <c r="U470" s="14" t="n">
        <v>12.74</v>
      </c>
      <c r="V470" s="14" t="n">
        <v>24.39</v>
      </c>
      <c r="W470" s="14" t="n">
        <v>149.29</v>
      </c>
      <c r="X470" s="14" t="n">
        <v>177.48</v>
      </c>
      <c r="Y470" s="14" t="n">
        <v>28.18</v>
      </c>
      <c r="Z470" s="14" t="n">
        <v>2.91</v>
      </c>
      <c r="AA470" s="14" t="n">
        <v>0</v>
      </c>
      <c r="AB470" s="14" t="n">
        <v>0</v>
      </c>
      <c r="AC470" s="14" t="n">
        <v>0</v>
      </c>
      <c r="AD470" s="15" t="n">
        <f aca="false">H470*E470/1000</f>
        <v>0</v>
      </c>
      <c r="AE470" s="15" t="n">
        <f aca="false">I470*E470/1000</f>
        <v>0</v>
      </c>
      <c r="AF470" s="16" t="n">
        <f aca="false">ROUND(S470+T470+U470+V470-W470,2)</f>
        <v>0</v>
      </c>
      <c r="AG470" s="16" t="n">
        <f aca="false">ROUND(X470-W470-Y470,2)</f>
        <v>0.01</v>
      </c>
    </row>
    <row r="471" customFormat="false" ht="15" hidden="false" customHeight="false" outlineLevel="0" collapsed="false">
      <c r="A471" s="13" t="s">
        <v>334</v>
      </c>
      <c r="B471" s="13" t="s">
        <v>218</v>
      </c>
      <c r="C471" s="13" t="s">
        <v>268</v>
      </c>
      <c r="D471" s="13" t="s">
        <v>335</v>
      </c>
      <c r="E471" s="14" t="n">
        <v>36.8</v>
      </c>
      <c r="F471" s="14" t="n">
        <v>164</v>
      </c>
      <c r="G471" s="14" t="n">
        <v>6.0352</v>
      </c>
      <c r="H471" s="14" t="n">
        <v>2</v>
      </c>
      <c r="I471" s="14"/>
      <c r="J471" s="14" t="n">
        <v>53.25</v>
      </c>
      <c r="K471" s="14" t="n">
        <v>61.33</v>
      </c>
      <c r="L471" s="14" t="n">
        <v>2.48</v>
      </c>
      <c r="M471" s="14" t="n">
        <v>23.61</v>
      </c>
      <c r="N471" s="14" t="n">
        <v>6</v>
      </c>
      <c r="O471" s="14"/>
      <c r="P471" s="14" t="n">
        <v>0.38</v>
      </c>
      <c r="Q471" s="14" t="n">
        <v>0.6</v>
      </c>
      <c r="R471" s="14"/>
      <c r="S471" s="14" t="n">
        <v>94.4</v>
      </c>
      <c r="T471" s="14" t="n">
        <v>9.23</v>
      </c>
      <c r="U471" s="14" t="n">
        <v>10.74</v>
      </c>
      <c r="V471" s="14" t="n">
        <v>23.18</v>
      </c>
      <c r="W471" s="14" t="n">
        <v>137.54</v>
      </c>
      <c r="X471" s="14" t="n">
        <v>202.42</v>
      </c>
      <c r="Y471" s="14" t="n">
        <v>64.88</v>
      </c>
      <c r="Z471" s="14" t="n">
        <v>3.82</v>
      </c>
      <c r="AA471" s="14" t="n">
        <v>0.05</v>
      </c>
      <c r="AB471" s="14" t="n">
        <v>0</v>
      </c>
      <c r="AC471" s="14" t="n">
        <v>0.05</v>
      </c>
      <c r="AD471" s="15" t="n">
        <f aca="false">H471*E471/1000</f>
        <v>0.0736</v>
      </c>
      <c r="AE471" s="15" t="n">
        <f aca="false">I471*E471/1000</f>
        <v>0</v>
      </c>
      <c r="AF471" s="16" t="n">
        <f aca="false">ROUND(S471+T471+U471+V471-W471,2)</f>
        <v>0.01</v>
      </c>
      <c r="AG471" s="16" t="n">
        <f aca="false">ROUND(X471-W471-Y471,2)</f>
        <v>0</v>
      </c>
    </row>
    <row r="472" customFormat="false" ht="15" hidden="false" customHeight="false" outlineLevel="0" collapsed="false">
      <c r="A472" s="13" t="s">
        <v>332</v>
      </c>
      <c r="B472" s="13" t="s">
        <v>218</v>
      </c>
      <c r="C472" s="13" t="s">
        <v>269</v>
      </c>
      <c r="D472" s="13" t="s">
        <v>333</v>
      </c>
      <c r="E472" s="14" t="n">
        <v>211</v>
      </c>
      <c r="F472" s="14" t="n">
        <v>87</v>
      </c>
      <c r="G472" s="14" t="n">
        <v>18.357</v>
      </c>
      <c r="H472" s="14" t="n">
        <v>2</v>
      </c>
      <c r="I472" s="14"/>
      <c r="J472" s="14" t="n">
        <v>48.82</v>
      </c>
      <c r="K472" s="14" t="n">
        <v>61.83</v>
      </c>
      <c r="L472" s="14" t="n">
        <v>2.7</v>
      </c>
      <c r="M472" s="14" t="n">
        <v>31.14</v>
      </c>
      <c r="N472" s="14" t="n">
        <v>5</v>
      </c>
      <c r="O472" s="14"/>
      <c r="P472" s="14" t="n">
        <v>0.38</v>
      </c>
      <c r="Q472" s="14" t="n">
        <v>0.6</v>
      </c>
      <c r="R472" s="14" t="n">
        <v>0.5</v>
      </c>
      <c r="S472" s="14" t="n">
        <v>102.16</v>
      </c>
      <c r="T472" s="14" t="n">
        <v>4.38</v>
      </c>
      <c r="U472" s="14" t="n">
        <v>12.74</v>
      </c>
      <c r="V472" s="14" t="n">
        <v>24.02</v>
      </c>
      <c r="W472" s="14" t="n">
        <v>143.3</v>
      </c>
      <c r="X472" s="14" t="n">
        <v>177.48</v>
      </c>
      <c r="Y472" s="14" t="n">
        <v>34.18</v>
      </c>
      <c r="Z472" s="14" t="n">
        <v>5.83</v>
      </c>
      <c r="AA472" s="14" t="n">
        <v>0.3</v>
      </c>
      <c r="AB472" s="14" t="n">
        <v>0</v>
      </c>
      <c r="AC472" s="14" t="n">
        <v>0.14</v>
      </c>
      <c r="AD472" s="15" t="n">
        <f aca="false">H472*E472/1000</f>
        <v>0.422</v>
      </c>
      <c r="AE472" s="15" t="n">
        <f aca="false">I472*E472/1000</f>
        <v>0</v>
      </c>
      <c r="AF472" s="16" t="n">
        <f aca="false">ROUND(S472+T472+U472+V472-W472,2)</f>
        <v>0</v>
      </c>
      <c r="AG472" s="16" t="n">
        <f aca="false">ROUND(X472-W472-Y472,2)</f>
        <v>0</v>
      </c>
    </row>
    <row r="473" customFormat="false" ht="15" hidden="false" customHeight="false" outlineLevel="0" collapsed="false">
      <c r="A473" s="13" t="s">
        <v>334</v>
      </c>
      <c r="B473" s="13" t="s">
        <v>218</v>
      </c>
      <c r="C473" s="13" t="s">
        <v>269</v>
      </c>
      <c r="D473" s="13" t="s">
        <v>335</v>
      </c>
      <c r="E473" s="14" t="n">
        <v>36.8</v>
      </c>
      <c r="F473" s="14" t="n">
        <v>524</v>
      </c>
      <c r="G473" s="14" t="n">
        <v>19.283</v>
      </c>
      <c r="H473" s="14" t="n">
        <v>22</v>
      </c>
      <c r="I473" s="14"/>
      <c r="J473" s="14" t="n">
        <v>53.25</v>
      </c>
      <c r="K473" s="14" t="n">
        <v>61.04</v>
      </c>
      <c r="L473" s="14" t="n">
        <v>2.48</v>
      </c>
      <c r="M473" s="14" t="n">
        <v>20.34</v>
      </c>
      <c r="N473" s="14" t="n">
        <v>5</v>
      </c>
      <c r="O473" s="14"/>
      <c r="P473" s="14" t="n">
        <v>0.38</v>
      </c>
      <c r="Q473" s="14" t="n">
        <v>0.6</v>
      </c>
      <c r="R473" s="14"/>
      <c r="S473" s="14" t="n">
        <v>89.84</v>
      </c>
      <c r="T473" s="14" t="n">
        <v>9.23</v>
      </c>
      <c r="U473" s="14" t="n">
        <v>10.74</v>
      </c>
      <c r="V473" s="14" t="n">
        <v>20.56</v>
      </c>
      <c r="W473" s="14" t="n">
        <v>130.36</v>
      </c>
      <c r="X473" s="14" t="n">
        <v>202.43</v>
      </c>
      <c r="Y473" s="14" t="n">
        <v>72.07</v>
      </c>
      <c r="Z473" s="14" t="n">
        <v>12.85</v>
      </c>
      <c r="AA473" s="14" t="n">
        <v>0.47</v>
      </c>
      <c r="AB473" s="14" t="n">
        <v>0</v>
      </c>
      <c r="AC473" s="14" t="n">
        <v>0.58</v>
      </c>
      <c r="AD473" s="15" t="n">
        <f aca="false">H473*E473/1000</f>
        <v>0.8096</v>
      </c>
      <c r="AE473" s="15" t="n">
        <f aca="false">I473*E473/1000</f>
        <v>0</v>
      </c>
      <c r="AF473" s="16" t="n">
        <f aca="false">ROUND(S473+T473+U473+V473-W473,2)</f>
        <v>0.01</v>
      </c>
      <c r="AG473" s="16" t="n">
        <f aca="false">ROUND(X473-W473-Y473,2)</f>
        <v>0</v>
      </c>
    </row>
    <row r="474" customFormat="false" ht="15" hidden="false" customHeight="false" outlineLevel="0" collapsed="false">
      <c r="A474" s="13" t="s">
        <v>332</v>
      </c>
      <c r="B474" s="13" t="s">
        <v>218</v>
      </c>
      <c r="C474" s="13" t="s">
        <v>235</v>
      </c>
      <c r="D474" s="13" t="s">
        <v>333</v>
      </c>
      <c r="E474" s="14" t="n">
        <v>211</v>
      </c>
      <c r="F474" s="14" t="n">
        <v>18</v>
      </c>
      <c r="G474" s="14" t="n">
        <v>3.798</v>
      </c>
      <c r="H474" s="14"/>
      <c r="I474" s="14"/>
      <c r="J474" s="14" t="n">
        <v>48.82</v>
      </c>
      <c r="K474" s="14" t="n">
        <v>60.29</v>
      </c>
      <c r="L474" s="14" t="n">
        <v>2.7</v>
      </c>
      <c r="M474" s="14" t="n">
        <v>35.09</v>
      </c>
      <c r="N474" s="14" t="n">
        <v>5</v>
      </c>
      <c r="O474" s="14"/>
      <c r="P474" s="14" t="n">
        <v>0.38</v>
      </c>
      <c r="Q474" s="14" t="n">
        <v>0.6</v>
      </c>
      <c r="R474" s="14" t="n">
        <v>0.5</v>
      </c>
      <c r="S474" s="14" t="n">
        <v>104.57</v>
      </c>
      <c r="T474" s="14" t="n">
        <v>4.38</v>
      </c>
      <c r="U474" s="14" t="n">
        <v>12.74</v>
      </c>
      <c r="V474" s="14" t="n">
        <v>24.02</v>
      </c>
      <c r="W474" s="14" t="n">
        <v>145.7</v>
      </c>
      <c r="X474" s="14" t="n">
        <v>177.48</v>
      </c>
      <c r="Y474" s="14" t="n">
        <v>31.77</v>
      </c>
      <c r="Z474" s="14" t="n">
        <v>1.21</v>
      </c>
      <c r="AA474" s="14" t="n">
        <v>0</v>
      </c>
      <c r="AB474" s="14" t="n">
        <v>0</v>
      </c>
      <c r="AC474" s="14" t="n">
        <v>0</v>
      </c>
      <c r="AD474" s="15" t="n">
        <f aca="false">H474*E474/1000</f>
        <v>0</v>
      </c>
      <c r="AE474" s="15" t="n">
        <f aca="false">I474*E474/1000</f>
        <v>0</v>
      </c>
      <c r="AF474" s="16" t="n">
        <f aca="false">ROUND(S474+T474+U474+V474-W474,2)</f>
        <v>0.01</v>
      </c>
      <c r="AG474" s="16" t="n">
        <f aca="false">ROUND(X474-W474-Y474,2)</f>
        <v>0.01</v>
      </c>
    </row>
    <row r="475" customFormat="false" ht="15" hidden="false" customHeight="false" outlineLevel="0" collapsed="false">
      <c r="A475" s="13" t="s">
        <v>334</v>
      </c>
      <c r="B475" s="13" t="s">
        <v>218</v>
      </c>
      <c r="C475" s="13" t="s">
        <v>235</v>
      </c>
      <c r="D475" s="13" t="s">
        <v>335</v>
      </c>
      <c r="E475" s="14" t="n">
        <v>36.8</v>
      </c>
      <c r="F475" s="14" t="n">
        <v>112</v>
      </c>
      <c r="G475" s="14" t="n">
        <v>4.1216</v>
      </c>
      <c r="H475" s="14" t="n">
        <v>9</v>
      </c>
      <c r="I475" s="14"/>
      <c r="J475" s="14" t="n">
        <v>53.25</v>
      </c>
      <c r="K475" s="14" t="n">
        <v>59.52</v>
      </c>
      <c r="L475" s="14" t="n">
        <v>2.48</v>
      </c>
      <c r="M475" s="14" t="n">
        <v>23.32</v>
      </c>
      <c r="N475" s="14" t="n">
        <v>5</v>
      </c>
      <c r="O475" s="14"/>
      <c r="P475" s="14" t="n">
        <v>0.38</v>
      </c>
      <c r="Q475" s="14" t="n">
        <v>0.6</v>
      </c>
      <c r="R475" s="14"/>
      <c r="S475" s="14" t="n">
        <v>91.3</v>
      </c>
      <c r="T475" s="14" t="n">
        <v>9.23</v>
      </c>
      <c r="U475" s="14" t="n">
        <v>10.74</v>
      </c>
      <c r="V475" s="14" t="n">
        <v>20.56</v>
      </c>
      <c r="W475" s="14" t="n">
        <v>131.82</v>
      </c>
      <c r="X475" s="14" t="n">
        <v>202.43</v>
      </c>
      <c r="Y475" s="14" t="n">
        <v>70.61</v>
      </c>
      <c r="Z475" s="14" t="n">
        <v>2.48</v>
      </c>
      <c r="AA475" s="14" t="n">
        <v>0.2</v>
      </c>
      <c r="AB475" s="14" t="n">
        <v>0</v>
      </c>
      <c r="AC475" s="14" t="n">
        <v>0.23</v>
      </c>
      <c r="AD475" s="15" t="n">
        <f aca="false">H475*E475/1000</f>
        <v>0.3312</v>
      </c>
      <c r="AE475" s="15" t="n">
        <f aca="false">I475*E475/1000</f>
        <v>0</v>
      </c>
      <c r="AF475" s="16" t="n">
        <f aca="false">ROUND(S475+T475+U475+V475-W475,2)</f>
        <v>0.01</v>
      </c>
      <c r="AG475" s="16" t="n">
        <f aca="false">ROUND(X475-W475-Y475,2)</f>
        <v>0</v>
      </c>
    </row>
    <row r="476" customFormat="false" ht="15" hidden="false" customHeight="false" outlineLevel="0" collapsed="false">
      <c r="A476" s="13" t="s">
        <v>332</v>
      </c>
      <c r="B476" s="13" t="s">
        <v>218</v>
      </c>
      <c r="C476" s="13" t="s">
        <v>240</v>
      </c>
      <c r="D476" s="13" t="s">
        <v>333</v>
      </c>
      <c r="E476" s="14" t="n">
        <v>211</v>
      </c>
      <c r="F476" s="14" t="n">
        <v>7</v>
      </c>
      <c r="G476" s="14" t="n">
        <v>1.477</v>
      </c>
      <c r="H476" s="14"/>
      <c r="I476" s="14"/>
      <c r="J476" s="14" t="n">
        <v>48.82</v>
      </c>
      <c r="K476" s="14" t="n">
        <v>59</v>
      </c>
      <c r="L476" s="14" t="n">
        <v>2.7</v>
      </c>
      <c r="M476" s="14" t="n">
        <v>35.09</v>
      </c>
      <c r="N476" s="14" t="n">
        <v>5</v>
      </c>
      <c r="O476" s="14"/>
      <c r="P476" s="14" t="n">
        <v>0.38</v>
      </c>
      <c r="Q476" s="14" t="n">
        <v>0.6</v>
      </c>
      <c r="R476" s="14" t="n">
        <v>0.5</v>
      </c>
      <c r="S476" s="14" t="n">
        <v>103.28</v>
      </c>
      <c r="T476" s="14" t="n">
        <v>4.38</v>
      </c>
      <c r="U476" s="14" t="n">
        <v>12.74</v>
      </c>
      <c r="V476" s="14" t="n">
        <v>24.02</v>
      </c>
      <c r="W476" s="14" t="n">
        <v>144.41</v>
      </c>
      <c r="X476" s="14" t="n">
        <v>177.48</v>
      </c>
      <c r="Y476" s="14" t="n">
        <v>33.06</v>
      </c>
      <c r="Z476" s="14" t="n">
        <v>0.49</v>
      </c>
      <c r="AA476" s="14" t="n">
        <v>0</v>
      </c>
      <c r="AB476" s="14" t="n">
        <v>0</v>
      </c>
      <c r="AC476" s="14" t="n">
        <v>0</v>
      </c>
      <c r="AD476" s="15" t="n">
        <f aca="false">H476*E476/1000</f>
        <v>0</v>
      </c>
      <c r="AE476" s="15" t="n">
        <f aca="false">I476*E476/1000</f>
        <v>0</v>
      </c>
      <c r="AF476" s="16" t="n">
        <f aca="false">ROUND(S476+T476+U476+V476-W476,2)</f>
        <v>0.01</v>
      </c>
      <c r="AG476" s="16" t="n">
        <f aca="false">ROUND(X476-W476-Y476,2)</f>
        <v>0.01</v>
      </c>
    </row>
    <row r="477" customFormat="false" ht="15" hidden="false" customHeight="false" outlineLevel="0" collapsed="false">
      <c r="A477" s="13" t="s">
        <v>334</v>
      </c>
      <c r="B477" s="13" t="s">
        <v>218</v>
      </c>
      <c r="C477" s="13" t="s">
        <v>240</v>
      </c>
      <c r="D477" s="13" t="s">
        <v>335</v>
      </c>
      <c r="E477" s="14" t="n">
        <v>36.8</v>
      </c>
      <c r="F477" s="14" t="n">
        <v>52</v>
      </c>
      <c r="G477" s="14" t="n">
        <v>1.9136</v>
      </c>
      <c r="H477" s="14"/>
      <c r="I477" s="14"/>
      <c r="J477" s="14" t="n">
        <v>53.25</v>
      </c>
      <c r="K477" s="14" t="n">
        <v>58.24</v>
      </c>
      <c r="L477" s="14" t="n">
        <v>2.48</v>
      </c>
      <c r="M477" s="14" t="n">
        <v>23.32</v>
      </c>
      <c r="N477" s="14" t="n">
        <v>5</v>
      </c>
      <c r="O477" s="14"/>
      <c r="P477" s="14" t="n">
        <v>0.38</v>
      </c>
      <c r="Q477" s="14" t="n">
        <v>0.6</v>
      </c>
      <c r="R477" s="14"/>
      <c r="S477" s="14" t="n">
        <v>90.02</v>
      </c>
      <c r="T477" s="14" t="n">
        <v>9.23</v>
      </c>
      <c r="U477" s="14" t="n">
        <v>10.74</v>
      </c>
      <c r="V477" s="14" t="n">
        <v>20.56</v>
      </c>
      <c r="W477" s="14" t="n">
        <v>130.55</v>
      </c>
      <c r="X477" s="14" t="n">
        <v>202.43</v>
      </c>
      <c r="Y477" s="14" t="n">
        <v>71.88</v>
      </c>
      <c r="Z477" s="14" t="n">
        <v>1.38</v>
      </c>
      <c r="AA477" s="14" t="n">
        <v>0</v>
      </c>
      <c r="AB477" s="14" t="n">
        <v>0</v>
      </c>
      <c r="AC477" s="14" t="n">
        <v>0</v>
      </c>
      <c r="AD477" s="15" t="n">
        <f aca="false">H477*E477/1000</f>
        <v>0</v>
      </c>
      <c r="AE477" s="15" t="n">
        <f aca="false">I477*E477/1000</f>
        <v>0</v>
      </c>
      <c r="AF477" s="16" t="n">
        <f aca="false">ROUND(S477+T477+U477+V477-W477,2)</f>
        <v>0</v>
      </c>
      <c r="AG477" s="16" t="n">
        <f aca="false">ROUND(X477-W477-Y477,2)</f>
        <v>0</v>
      </c>
    </row>
    <row r="478" customFormat="false" ht="15" hidden="false" customHeight="false" outlineLevel="0" collapsed="false">
      <c r="A478" s="13" t="s">
        <v>334</v>
      </c>
      <c r="B478" s="13" t="s">
        <v>218</v>
      </c>
      <c r="C478" s="13" t="s">
        <v>241</v>
      </c>
      <c r="D478" s="13" t="s">
        <v>335</v>
      </c>
      <c r="E478" s="14" t="n">
        <v>36.8</v>
      </c>
      <c r="F478" s="14" t="n">
        <v>4</v>
      </c>
      <c r="G478" s="14" t="n">
        <v>0.1472</v>
      </c>
      <c r="H478" s="14"/>
      <c r="I478" s="14"/>
      <c r="J478" s="14" t="n">
        <v>53.25</v>
      </c>
      <c r="K478" s="14" t="n">
        <v>60.23</v>
      </c>
      <c r="L478" s="14" t="n">
        <v>2.48</v>
      </c>
      <c r="M478" s="14" t="n">
        <v>23.32</v>
      </c>
      <c r="N478" s="14" t="n">
        <v>5</v>
      </c>
      <c r="O478" s="14"/>
      <c r="P478" s="14" t="n">
        <v>0.38</v>
      </c>
      <c r="Q478" s="14" t="n">
        <v>0.6</v>
      </c>
      <c r="R478" s="14"/>
      <c r="S478" s="14" t="n">
        <v>92.01</v>
      </c>
      <c r="T478" s="14" t="n">
        <v>9.23</v>
      </c>
      <c r="U478" s="14" t="n">
        <v>10.74</v>
      </c>
      <c r="V478" s="14" t="n">
        <v>19.92</v>
      </c>
      <c r="W478" s="14" t="n">
        <v>131.9</v>
      </c>
      <c r="X478" s="14" t="n">
        <v>202.43</v>
      </c>
      <c r="Y478" s="14" t="n">
        <v>70.53</v>
      </c>
      <c r="Z478" s="14" t="n">
        <v>0.1</v>
      </c>
      <c r="AA478" s="14" t="n">
        <v>0</v>
      </c>
      <c r="AB478" s="14" t="n">
        <v>0</v>
      </c>
      <c r="AC478" s="14" t="n">
        <v>0</v>
      </c>
      <c r="AD478" s="15" t="n">
        <f aca="false">H478*E478/1000</f>
        <v>0</v>
      </c>
      <c r="AE478" s="15" t="n">
        <f aca="false">I478*E478/1000</f>
        <v>0</v>
      </c>
      <c r="AF478" s="16" t="n">
        <f aca="false">ROUND(S478+T478+U478+V478-W478,2)</f>
        <v>0</v>
      </c>
      <c r="AG478" s="16" t="n">
        <f aca="false">ROUND(X478-W478-Y478,2)</f>
        <v>0</v>
      </c>
    </row>
    <row r="479" customFormat="false" ht="15" hidden="false" customHeight="false" outlineLevel="0" collapsed="false">
      <c r="A479" s="13" t="s">
        <v>332</v>
      </c>
      <c r="B479" s="13" t="s">
        <v>256</v>
      </c>
      <c r="C479" s="13" t="s">
        <v>226</v>
      </c>
      <c r="D479" s="13" t="s">
        <v>333</v>
      </c>
      <c r="E479" s="14" t="n">
        <v>211</v>
      </c>
      <c r="F479" s="14" t="n">
        <v>1</v>
      </c>
      <c r="G479" s="14" t="n">
        <v>0.211</v>
      </c>
      <c r="H479" s="14"/>
      <c r="I479" s="14"/>
      <c r="J479" s="14" t="n">
        <v>48.82</v>
      </c>
      <c r="K479" s="14" t="n">
        <v>58.35</v>
      </c>
      <c r="L479" s="14" t="n">
        <v>2.7</v>
      </c>
      <c r="M479" s="14" t="n">
        <v>35.09</v>
      </c>
      <c r="N479" s="14" t="n">
        <v>5</v>
      </c>
      <c r="O479" s="14"/>
      <c r="P479" s="14" t="n">
        <v>0.38</v>
      </c>
      <c r="Q479" s="14" t="n">
        <v>0.6</v>
      </c>
      <c r="R479" s="14" t="n">
        <v>0.5</v>
      </c>
      <c r="S479" s="14" t="n">
        <v>102.62</v>
      </c>
      <c r="T479" s="14" t="n">
        <v>4.38</v>
      </c>
      <c r="U479" s="14" t="n">
        <v>13.65</v>
      </c>
      <c r="V479" s="14" t="n">
        <v>23.97</v>
      </c>
      <c r="W479" s="14" t="n">
        <v>144.63</v>
      </c>
      <c r="X479" s="14" t="n">
        <v>177.48</v>
      </c>
      <c r="Y479" s="14" t="n">
        <v>32.85</v>
      </c>
      <c r="Z479" s="14" t="n">
        <v>0.07</v>
      </c>
      <c r="AA479" s="14" t="n">
        <v>0</v>
      </c>
      <c r="AB479" s="14" t="n">
        <v>0</v>
      </c>
      <c r="AC479" s="14" t="n">
        <v>0</v>
      </c>
      <c r="AD479" s="15" t="n">
        <f aca="false">H479*E479/1000</f>
        <v>0</v>
      </c>
      <c r="AE479" s="15" t="n">
        <f aca="false">I479*E479/1000</f>
        <v>0</v>
      </c>
      <c r="AF479" s="16" t="n">
        <f aca="false">ROUND(S479+T479+U479+V479-W479,2)</f>
        <v>-0.01</v>
      </c>
      <c r="AG479" s="16" t="n">
        <f aca="false">ROUND(X479-W479-Y479,2)</f>
        <v>0</v>
      </c>
    </row>
    <row r="480" customFormat="false" ht="15" hidden="false" customHeight="false" outlineLevel="0" collapsed="false">
      <c r="A480" s="13" t="s">
        <v>334</v>
      </c>
      <c r="B480" s="13" t="s">
        <v>256</v>
      </c>
      <c r="C480" s="13" t="s">
        <v>226</v>
      </c>
      <c r="D480" s="13" t="s">
        <v>335</v>
      </c>
      <c r="E480" s="14" t="n">
        <v>36.8</v>
      </c>
      <c r="F480" s="14" t="n">
        <v>4</v>
      </c>
      <c r="G480" s="14" t="n">
        <v>0.1472</v>
      </c>
      <c r="H480" s="14"/>
      <c r="I480" s="14"/>
      <c r="J480" s="14" t="n">
        <v>53.25</v>
      </c>
      <c r="K480" s="14" t="n">
        <v>57.6</v>
      </c>
      <c r="L480" s="14" t="n">
        <v>2.48</v>
      </c>
      <c r="M480" s="14" t="n">
        <v>23.32</v>
      </c>
      <c r="N480" s="14" t="n">
        <v>5</v>
      </c>
      <c r="O480" s="14"/>
      <c r="P480" s="14" t="n">
        <v>0.38</v>
      </c>
      <c r="Q480" s="14" t="n">
        <v>0.6</v>
      </c>
      <c r="R480" s="14"/>
      <c r="S480" s="14" t="n">
        <v>89.38</v>
      </c>
      <c r="T480" s="14" t="n">
        <v>9.23</v>
      </c>
      <c r="U480" s="14" t="n">
        <v>13.65</v>
      </c>
      <c r="V480" s="14" t="n">
        <v>20.59</v>
      </c>
      <c r="W480" s="14" t="n">
        <v>132.84</v>
      </c>
      <c r="X480" s="14" t="n">
        <v>202.43</v>
      </c>
      <c r="Y480" s="14" t="n">
        <v>69.58</v>
      </c>
      <c r="Z480" s="14" t="n">
        <v>0.1</v>
      </c>
      <c r="AA480" s="14" t="n">
        <v>0</v>
      </c>
      <c r="AB480" s="14" t="n">
        <v>0</v>
      </c>
      <c r="AC480" s="14" t="n">
        <v>0</v>
      </c>
      <c r="AD480" s="15" t="n">
        <f aca="false">H480*E480/1000</f>
        <v>0</v>
      </c>
      <c r="AE480" s="15" t="n">
        <f aca="false">I480*E480/1000</f>
        <v>0</v>
      </c>
      <c r="AF480" s="16" t="n">
        <f aca="false">ROUND(S480+T480+U480+V480-W480,2)</f>
        <v>0.01</v>
      </c>
      <c r="AG480" s="16" t="n">
        <f aca="false">ROUND(X480-W480-Y480,2)</f>
        <v>0.01</v>
      </c>
    </row>
    <row r="481" customFormat="false" ht="15" hidden="false" customHeight="false" outlineLevel="0" collapsed="false">
      <c r="A481" s="13" t="s">
        <v>334</v>
      </c>
      <c r="B481" s="13" t="s">
        <v>256</v>
      </c>
      <c r="C481" s="13" t="s">
        <v>259</v>
      </c>
      <c r="D481" s="13" t="s">
        <v>335</v>
      </c>
      <c r="E481" s="14" t="n">
        <v>36.8</v>
      </c>
      <c r="F481" s="14" t="n">
        <v>148</v>
      </c>
      <c r="G481" s="14" t="n">
        <v>5.4464</v>
      </c>
      <c r="H481" s="14"/>
      <c r="I481" s="14"/>
      <c r="J481" s="14" t="n">
        <v>53.25</v>
      </c>
      <c r="K481" s="14" t="n">
        <v>56.81</v>
      </c>
      <c r="L481" s="14" t="n">
        <v>2.48</v>
      </c>
      <c r="M481" s="14" t="n">
        <v>27.47</v>
      </c>
      <c r="N481" s="14" t="n">
        <v>5</v>
      </c>
      <c r="O481" s="14"/>
      <c r="P481" s="14" t="n">
        <v>0.38</v>
      </c>
      <c r="Q481" s="14" t="n">
        <v>0.6</v>
      </c>
      <c r="R481" s="14"/>
      <c r="S481" s="14" t="n">
        <v>92.74</v>
      </c>
      <c r="T481" s="14" t="n">
        <v>9.23</v>
      </c>
      <c r="U481" s="14" t="n">
        <v>13.65</v>
      </c>
      <c r="V481" s="14" t="n">
        <v>21.24</v>
      </c>
      <c r="W481" s="14" t="n">
        <v>136.86</v>
      </c>
      <c r="X481" s="14" t="n">
        <v>202.43</v>
      </c>
      <c r="Y481" s="14" t="n">
        <v>65.57</v>
      </c>
      <c r="Z481" s="14" t="n">
        <v>3.57</v>
      </c>
      <c r="AA481" s="14" t="n">
        <v>0</v>
      </c>
      <c r="AB481" s="14" t="n">
        <v>0</v>
      </c>
      <c r="AC481" s="14" t="n">
        <v>0</v>
      </c>
      <c r="AD481" s="15" t="n">
        <f aca="false">H481*E481/1000</f>
        <v>0</v>
      </c>
      <c r="AE481" s="15" t="n">
        <f aca="false">I481*E481/1000</f>
        <v>0</v>
      </c>
      <c r="AF481" s="16" t="n">
        <f aca="false">ROUND(S481+T481+U481+V481-W481,2)</f>
        <v>0</v>
      </c>
      <c r="AG481" s="16" t="n">
        <f aca="false">ROUND(X481-W481-Y481,2)</f>
        <v>0</v>
      </c>
    </row>
    <row r="482" customFormat="false" ht="15" hidden="false" customHeight="false" outlineLevel="0" collapsed="false">
      <c r="A482" s="13" t="s">
        <v>336</v>
      </c>
      <c r="B482" s="13" t="s">
        <v>256</v>
      </c>
      <c r="C482" s="13" t="s">
        <v>259</v>
      </c>
      <c r="D482" s="13" t="s">
        <v>337</v>
      </c>
      <c r="E482" s="14" t="n">
        <v>8.5</v>
      </c>
      <c r="F482" s="14" t="n">
        <v>42</v>
      </c>
      <c r="G482" s="14" t="n">
        <v>0.357</v>
      </c>
      <c r="H482" s="14"/>
      <c r="I482" s="14"/>
      <c r="J482" s="14" t="n">
        <v>44.12</v>
      </c>
      <c r="K482" s="14" t="n">
        <v>58.51</v>
      </c>
      <c r="L482" s="14" t="n">
        <v>2.99</v>
      </c>
      <c r="M482" s="14" t="n">
        <v>42.44</v>
      </c>
      <c r="N482" s="14" t="n">
        <v>5</v>
      </c>
      <c r="O482" s="14"/>
      <c r="P482" s="14" t="n">
        <v>0.38</v>
      </c>
      <c r="Q482" s="14" t="n">
        <v>0.6</v>
      </c>
      <c r="R482" s="14"/>
      <c r="S482" s="14" t="n">
        <v>109.92</v>
      </c>
      <c r="T482" s="14" t="n">
        <v>0</v>
      </c>
      <c r="U482" s="14" t="n">
        <v>8.65</v>
      </c>
      <c r="V482" s="14" t="n">
        <v>23.64</v>
      </c>
      <c r="W482" s="14" t="n">
        <v>142.21</v>
      </c>
      <c r="X482" s="14" t="n">
        <v>175.16</v>
      </c>
      <c r="Y482" s="14" t="n">
        <v>32.95</v>
      </c>
      <c r="Z482" s="14" t="n">
        <v>0.12</v>
      </c>
      <c r="AA482" s="14" t="n">
        <v>0</v>
      </c>
      <c r="AB482" s="14" t="n">
        <v>0</v>
      </c>
      <c r="AC482" s="14" t="n">
        <v>0</v>
      </c>
      <c r="AD482" s="15" t="n">
        <f aca="false">H482*E482/1000</f>
        <v>0</v>
      </c>
      <c r="AE482" s="15" t="n">
        <f aca="false">I482*E482/1000</f>
        <v>0</v>
      </c>
      <c r="AF482" s="16" t="n">
        <f aca="false">ROUND(S482+T482+U482+V482-W482,2)</f>
        <v>0</v>
      </c>
      <c r="AG482" s="16" t="n">
        <f aca="false">ROUND(X482-W482-Y482,2)</f>
        <v>0</v>
      </c>
    </row>
    <row r="483" customFormat="false" ht="15" hidden="false" customHeight="false" outlineLevel="0" collapsed="false">
      <c r="A483" s="13" t="s">
        <v>338</v>
      </c>
      <c r="B483" s="13" t="s">
        <v>256</v>
      </c>
      <c r="C483" s="13" t="s">
        <v>259</v>
      </c>
      <c r="D483" s="13" t="s">
        <v>339</v>
      </c>
      <c r="E483" s="14" t="n">
        <v>110</v>
      </c>
      <c r="F483" s="14" t="n">
        <v>1</v>
      </c>
      <c r="G483" s="14" t="n">
        <v>0.11</v>
      </c>
      <c r="H483" s="14"/>
      <c r="I483" s="14"/>
      <c r="J483" s="14" t="n">
        <v>53.92</v>
      </c>
      <c r="K483" s="14" t="n">
        <v>59.03</v>
      </c>
      <c r="L483" s="14" t="n">
        <v>2.45</v>
      </c>
      <c r="M483" s="14" t="n">
        <v>21.04</v>
      </c>
      <c r="N483" s="14" t="n">
        <v>5</v>
      </c>
      <c r="O483" s="14"/>
      <c r="P483" s="14" t="n">
        <v>0.38</v>
      </c>
      <c r="Q483" s="14" t="n">
        <v>0.6</v>
      </c>
      <c r="R483" s="14"/>
      <c r="S483" s="14" t="n">
        <v>88.5</v>
      </c>
      <c r="T483" s="14" t="n">
        <v>0</v>
      </c>
      <c r="U483" s="14" t="n">
        <v>8.65</v>
      </c>
      <c r="V483" s="14" t="n">
        <v>23.54</v>
      </c>
      <c r="W483" s="14" t="n">
        <v>120.69</v>
      </c>
      <c r="X483" s="14" t="n">
        <v>175</v>
      </c>
      <c r="Y483" s="14" t="n">
        <v>54.31</v>
      </c>
      <c r="Z483" s="14" t="n">
        <v>0.06</v>
      </c>
      <c r="AA483" s="14" t="n">
        <v>0</v>
      </c>
      <c r="AB483" s="14" t="n">
        <v>0</v>
      </c>
      <c r="AC483" s="14" t="n">
        <v>0</v>
      </c>
      <c r="AD483" s="15" t="n">
        <f aca="false">H483*E483/1000</f>
        <v>0</v>
      </c>
      <c r="AE483" s="15" t="n">
        <f aca="false">I483*E483/1000</f>
        <v>0</v>
      </c>
      <c r="AF483" s="16" t="n">
        <f aca="false">ROUND(S483+T483+U483+V483-W483,2)</f>
        <v>0</v>
      </c>
      <c r="AG483" s="16" t="n">
        <f aca="false">ROUND(X483-W483-Y483,2)</f>
        <v>0</v>
      </c>
    </row>
    <row r="484" customFormat="false" ht="15" hidden="false" customHeight="false" outlineLevel="0" collapsed="false">
      <c r="A484" s="13" t="s">
        <v>334</v>
      </c>
      <c r="B484" s="13" t="s">
        <v>256</v>
      </c>
      <c r="C484" s="13" t="s">
        <v>263</v>
      </c>
      <c r="D484" s="13" t="s">
        <v>335</v>
      </c>
      <c r="E484" s="14" t="n">
        <v>36.8</v>
      </c>
      <c r="F484" s="14" t="n">
        <v>411</v>
      </c>
      <c r="G484" s="14" t="n">
        <v>15.125</v>
      </c>
      <c r="H484" s="14" t="n">
        <v>15</v>
      </c>
      <c r="I484" s="14"/>
      <c r="J484" s="14" t="n">
        <v>53.25</v>
      </c>
      <c r="K484" s="14" t="n">
        <v>56.32</v>
      </c>
      <c r="L484" s="14" t="n">
        <v>2.48</v>
      </c>
      <c r="M484" s="14" t="n">
        <v>24.35</v>
      </c>
      <c r="N484" s="14" t="n">
        <v>5</v>
      </c>
      <c r="O484" s="14"/>
      <c r="P484" s="14" t="n">
        <v>0.38</v>
      </c>
      <c r="Q484" s="14" t="n">
        <v>0.6</v>
      </c>
      <c r="R484" s="14"/>
      <c r="S484" s="14" t="n">
        <v>89.13</v>
      </c>
      <c r="T484" s="14" t="n">
        <v>14.5</v>
      </c>
      <c r="U484" s="14" t="n">
        <v>13.65</v>
      </c>
      <c r="V484" s="14" t="n">
        <v>21.24</v>
      </c>
      <c r="W484" s="14" t="n">
        <v>138.52</v>
      </c>
      <c r="X484" s="14" t="n">
        <v>202.43</v>
      </c>
      <c r="Y484" s="14" t="n">
        <v>63.91</v>
      </c>
      <c r="Z484" s="14" t="n">
        <v>8.99</v>
      </c>
      <c r="AA484" s="14" t="n">
        <v>0.33</v>
      </c>
      <c r="AB484" s="14" t="n">
        <v>0</v>
      </c>
      <c r="AC484" s="14" t="n">
        <v>0.35</v>
      </c>
      <c r="AD484" s="15" t="n">
        <f aca="false">H484*E484/1000</f>
        <v>0.552</v>
      </c>
      <c r="AE484" s="15" t="n">
        <f aca="false">I484*E484/1000</f>
        <v>0</v>
      </c>
      <c r="AF484" s="16" t="n">
        <f aca="false">ROUND(S484+T484+U484+V484-W484,2)</f>
        <v>0</v>
      </c>
      <c r="AG484" s="16" t="n">
        <f aca="false">ROUND(X484-W484-Y484,2)</f>
        <v>0</v>
      </c>
    </row>
    <row r="485" customFormat="false" ht="15" hidden="false" customHeight="false" outlineLevel="0" collapsed="false">
      <c r="A485" s="13" t="s">
        <v>336</v>
      </c>
      <c r="B485" s="13" t="s">
        <v>256</v>
      </c>
      <c r="C485" s="13" t="s">
        <v>263</v>
      </c>
      <c r="D485" s="13" t="s">
        <v>337</v>
      </c>
      <c r="E485" s="14" t="n">
        <v>8.5</v>
      </c>
      <c r="F485" s="14" t="n">
        <v>384</v>
      </c>
      <c r="G485" s="14" t="n">
        <v>3.264</v>
      </c>
      <c r="H485" s="14"/>
      <c r="I485" s="14"/>
      <c r="J485" s="14" t="n">
        <v>44.12</v>
      </c>
      <c r="K485" s="14" t="n">
        <v>58.01</v>
      </c>
      <c r="L485" s="14" t="n">
        <v>2.99</v>
      </c>
      <c r="M485" s="14" t="n">
        <v>38.03</v>
      </c>
      <c r="N485" s="14" t="n">
        <v>5</v>
      </c>
      <c r="O485" s="14"/>
      <c r="P485" s="14" t="n">
        <v>0.38</v>
      </c>
      <c r="Q485" s="14" t="n">
        <v>0.6</v>
      </c>
      <c r="R485" s="14"/>
      <c r="S485" s="14" t="n">
        <v>105.01</v>
      </c>
      <c r="T485" s="14" t="n">
        <v>15.53</v>
      </c>
      <c r="U485" s="14" t="n">
        <v>8.65</v>
      </c>
      <c r="V485" s="14" t="n">
        <v>23.64</v>
      </c>
      <c r="W485" s="14" t="n">
        <v>152.82</v>
      </c>
      <c r="X485" s="14" t="n">
        <v>175.16</v>
      </c>
      <c r="Y485" s="14" t="n">
        <v>22.34</v>
      </c>
      <c r="Z485" s="14" t="n">
        <v>0.73</v>
      </c>
      <c r="AA485" s="14" t="n">
        <v>0</v>
      </c>
      <c r="AB485" s="14" t="n">
        <v>0</v>
      </c>
      <c r="AC485" s="14" t="n">
        <v>0</v>
      </c>
      <c r="AD485" s="15" t="n">
        <f aca="false">H485*E485/1000</f>
        <v>0</v>
      </c>
      <c r="AE485" s="15" t="n">
        <f aca="false">I485*E485/1000</f>
        <v>0</v>
      </c>
      <c r="AF485" s="16" t="n">
        <f aca="false">ROUND(S485+T485+U485+V485-W485,2)</f>
        <v>0.01</v>
      </c>
      <c r="AG485" s="16" t="n">
        <f aca="false">ROUND(X485-W485-Y485,2)</f>
        <v>0</v>
      </c>
    </row>
    <row r="486" customFormat="false" ht="15" hidden="false" customHeight="false" outlineLevel="0" collapsed="false">
      <c r="A486" s="13" t="s">
        <v>334</v>
      </c>
      <c r="B486" s="13" t="s">
        <v>256</v>
      </c>
      <c r="C486" s="13" t="s">
        <v>229</v>
      </c>
      <c r="D486" s="13" t="s">
        <v>335</v>
      </c>
      <c r="E486" s="14" t="n">
        <v>36.8</v>
      </c>
      <c r="F486" s="14" t="n">
        <v>344</v>
      </c>
      <c r="G486" s="14" t="n">
        <v>12.659</v>
      </c>
      <c r="H486" s="14" t="n">
        <v>27</v>
      </c>
      <c r="I486" s="14"/>
      <c r="J486" s="14" t="n">
        <v>53.25</v>
      </c>
      <c r="K486" s="14" t="n">
        <v>53.95</v>
      </c>
      <c r="L486" s="14" t="n">
        <v>3.16</v>
      </c>
      <c r="M486" s="14" t="n">
        <v>25.58</v>
      </c>
      <c r="N486" s="14" t="n">
        <v>5</v>
      </c>
      <c r="O486" s="14"/>
      <c r="P486" s="14" t="n">
        <v>0.38</v>
      </c>
      <c r="Q486" s="14" t="n">
        <v>0.6</v>
      </c>
      <c r="R486" s="14"/>
      <c r="S486" s="14" t="n">
        <v>88.67</v>
      </c>
      <c r="T486" s="14" t="n">
        <v>14.5</v>
      </c>
      <c r="U486" s="14" t="n">
        <v>13.65</v>
      </c>
      <c r="V486" s="14" t="n">
        <v>21.24</v>
      </c>
      <c r="W486" s="14" t="n">
        <v>138.06</v>
      </c>
      <c r="X486" s="14" t="n">
        <v>202.43</v>
      </c>
      <c r="Y486" s="14" t="n">
        <v>64.37</v>
      </c>
      <c r="Z486" s="14" t="n">
        <v>6.91</v>
      </c>
      <c r="AA486" s="14" t="n">
        <v>0.6</v>
      </c>
      <c r="AB486" s="14" t="n">
        <v>0</v>
      </c>
      <c r="AC486" s="14" t="n">
        <v>0.64</v>
      </c>
      <c r="AD486" s="15" t="n">
        <f aca="false">H486*E486/1000</f>
        <v>0.9936</v>
      </c>
      <c r="AE486" s="15" t="n">
        <f aca="false">I486*E486/1000</f>
        <v>0</v>
      </c>
      <c r="AF486" s="16" t="n">
        <f aca="false">ROUND(S486+T486+U486+V486-W486,2)</f>
        <v>0</v>
      </c>
      <c r="AG486" s="16" t="n">
        <f aca="false">ROUND(X486-W486-Y486,2)</f>
        <v>0</v>
      </c>
    </row>
    <row r="487" customFormat="false" ht="15" hidden="false" customHeight="false" outlineLevel="0" collapsed="false">
      <c r="A487" s="13" t="s">
        <v>338</v>
      </c>
      <c r="B487" s="13" t="s">
        <v>256</v>
      </c>
      <c r="C487" s="13" t="s">
        <v>229</v>
      </c>
      <c r="D487" s="13" t="s">
        <v>339</v>
      </c>
      <c r="E487" s="14" t="n">
        <v>110</v>
      </c>
      <c r="F487" s="14" t="n">
        <v>1</v>
      </c>
      <c r="G487" s="14" t="n">
        <v>0.11</v>
      </c>
      <c r="H487" s="14"/>
      <c r="I487" s="14"/>
      <c r="J487" s="14" t="n">
        <v>53.92</v>
      </c>
      <c r="K487" s="14" t="n">
        <v>59.03</v>
      </c>
      <c r="L487" s="14" t="n">
        <v>3.12</v>
      </c>
      <c r="M487" s="14" t="n">
        <v>19.74</v>
      </c>
      <c r="N487" s="14" t="n">
        <v>5</v>
      </c>
      <c r="O487" s="14"/>
      <c r="P487" s="14" t="n">
        <v>0.38</v>
      </c>
      <c r="Q487" s="14" t="n">
        <v>0.6</v>
      </c>
      <c r="R487" s="14"/>
      <c r="S487" s="14" t="n">
        <v>87.87</v>
      </c>
      <c r="T487" s="14" t="n">
        <v>0</v>
      </c>
      <c r="U487" s="14" t="n">
        <v>8.65</v>
      </c>
      <c r="V487" s="14" t="n">
        <v>23.54</v>
      </c>
      <c r="W487" s="14" t="n">
        <v>120.06</v>
      </c>
      <c r="X487" s="14" t="n">
        <v>175</v>
      </c>
      <c r="Y487" s="14" t="n">
        <v>54.94</v>
      </c>
      <c r="Z487" s="14" t="n">
        <v>0.06</v>
      </c>
      <c r="AA487" s="14" t="n">
        <v>0</v>
      </c>
      <c r="AB487" s="14" t="n">
        <v>0</v>
      </c>
      <c r="AC487" s="14" t="n">
        <v>0</v>
      </c>
      <c r="AD487" s="15" t="n">
        <f aca="false">H487*E487/1000</f>
        <v>0</v>
      </c>
      <c r="AE487" s="15" t="n">
        <f aca="false">I487*E487/1000</f>
        <v>0</v>
      </c>
      <c r="AF487" s="16" t="n">
        <f aca="false">ROUND(S487+T487+U487+V487-W487,2)</f>
        <v>0</v>
      </c>
      <c r="AG487" s="16" t="n">
        <f aca="false">ROUND(X487-W487-Y487,2)</f>
        <v>0</v>
      </c>
    </row>
    <row r="488" customFormat="false" ht="15" hidden="false" customHeight="false" outlineLevel="0" collapsed="false">
      <c r="A488" s="13" t="s">
        <v>332</v>
      </c>
      <c r="B488" s="13" t="s">
        <v>256</v>
      </c>
      <c r="C488" s="13" t="s">
        <v>234</v>
      </c>
      <c r="D488" s="13" t="s">
        <v>333</v>
      </c>
      <c r="E488" s="14" t="n">
        <v>210</v>
      </c>
      <c r="F488" s="14" t="n">
        <v>3</v>
      </c>
      <c r="G488" s="14" t="n">
        <v>0.63</v>
      </c>
      <c r="H488" s="14"/>
      <c r="I488" s="14"/>
      <c r="J488" s="14" t="n">
        <v>48.82</v>
      </c>
      <c r="K488" s="14" t="n">
        <v>55.88</v>
      </c>
      <c r="L488" s="14" t="n">
        <v>3.45</v>
      </c>
      <c r="M488" s="14" t="n">
        <v>43.56</v>
      </c>
      <c r="N488" s="14" t="n">
        <v>7.83</v>
      </c>
      <c r="O488" s="14"/>
      <c r="P488" s="14" t="n">
        <v>0.38</v>
      </c>
      <c r="Q488" s="14" t="n">
        <v>0.6</v>
      </c>
      <c r="R488" s="14" t="n">
        <v>0.5</v>
      </c>
      <c r="S488" s="14" t="n">
        <v>112.18</v>
      </c>
      <c r="T488" s="14" t="n">
        <v>4.4</v>
      </c>
      <c r="U488" s="14" t="n">
        <v>15.86</v>
      </c>
      <c r="V488" s="14" t="n">
        <v>27.11</v>
      </c>
      <c r="W488" s="14" t="n">
        <v>159.56</v>
      </c>
      <c r="X488" s="14" t="n">
        <v>178.32</v>
      </c>
      <c r="Y488" s="14" t="n">
        <v>18.76</v>
      </c>
      <c r="Z488" s="14" t="n">
        <v>0.12</v>
      </c>
      <c r="AA488" s="14" t="n">
        <v>0</v>
      </c>
      <c r="AB488" s="14" t="n">
        <v>0</v>
      </c>
      <c r="AC488" s="14" t="n">
        <v>0</v>
      </c>
      <c r="AD488" s="15" t="n">
        <f aca="false">H488*E488/1000</f>
        <v>0</v>
      </c>
      <c r="AE488" s="15" t="n">
        <f aca="false">I488*E488/1000</f>
        <v>0</v>
      </c>
      <c r="AF488" s="16" t="n">
        <f aca="false">ROUND(S488+T488+U488+V488-W488,2)</f>
        <v>-0.01</v>
      </c>
      <c r="AG488" s="16" t="n">
        <f aca="false">ROUND(X488-W488-Y488,2)</f>
        <v>0</v>
      </c>
    </row>
    <row r="489" customFormat="false" ht="15" hidden="false" customHeight="false" outlineLevel="0" collapsed="false">
      <c r="A489" s="13" t="s">
        <v>334</v>
      </c>
      <c r="B489" s="13" t="s">
        <v>256</v>
      </c>
      <c r="C489" s="13" t="s">
        <v>234</v>
      </c>
      <c r="D489" s="13" t="s">
        <v>335</v>
      </c>
      <c r="E489" s="14" t="n">
        <v>37</v>
      </c>
      <c r="F489" s="14" t="n">
        <v>487</v>
      </c>
      <c r="G489" s="14" t="n">
        <v>18.019</v>
      </c>
      <c r="H489" s="14" t="n">
        <v>25</v>
      </c>
      <c r="I489" s="14"/>
      <c r="J489" s="14" t="n">
        <v>53.25</v>
      </c>
      <c r="K489" s="14" t="n">
        <v>55.15</v>
      </c>
      <c r="L489" s="14" t="n">
        <v>3.16</v>
      </c>
      <c r="M489" s="14" t="n">
        <v>29.44</v>
      </c>
      <c r="N489" s="14" t="n">
        <v>7.83</v>
      </c>
      <c r="O489" s="14"/>
      <c r="P489" s="14" t="n">
        <v>0.38</v>
      </c>
      <c r="Q489" s="14" t="n">
        <v>0.6</v>
      </c>
      <c r="R489" s="14"/>
      <c r="S489" s="14" t="n">
        <v>96.56</v>
      </c>
      <c r="T489" s="14" t="n">
        <v>14.42</v>
      </c>
      <c r="U489" s="14" t="n">
        <v>15.86</v>
      </c>
      <c r="V489" s="14" t="n">
        <v>23.28</v>
      </c>
      <c r="W489" s="14" t="n">
        <v>150.13</v>
      </c>
      <c r="X489" s="14" t="n">
        <v>201.33</v>
      </c>
      <c r="Y489" s="14" t="n">
        <v>51.2</v>
      </c>
      <c r="Z489" s="14" t="n">
        <v>8.1</v>
      </c>
      <c r="AA489" s="14" t="n">
        <v>0.65</v>
      </c>
      <c r="AB489" s="14" t="n">
        <v>0</v>
      </c>
      <c r="AC489" s="14" t="n">
        <v>0.47</v>
      </c>
      <c r="AD489" s="15" t="n">
        <f aca="false">H489*E489/1000</f>
        <v>0.925</v>
      </c>
      <c r="AE489" s="15" t="n">
        <f aca="false">I489*E489/1000</f>
        <v>0</v>
      </c>
      <c r="AF489" s="16" t="n">
        <f aca="false">ROUND(S489+T489+U489+V489-W489,2)</f>
        <v>-0.01</v>
      </c>
      <c r="AG489" s="16" t="n">
        <f aca="false">ROUND(X489-W489-Y489,2)</f>
        <v>0</v>
      </c>
    </row>
    <row r="490" customFormat="false" ht="15" hidden="false" customHeight="false" outlineLevel="0" collapsed="false">
      <c r="A490" s="13" t="s">
        <v>340</v>
      </c>
      <c r="B490" s="13" t="s">
        <v>256</v>
      </c>
      <c r="C490" s="13" t="s">
        <v>234</v>
      </c>
      <c r="D490" s="13" t="s">
        <v>341</v>
      </c>
      <c r="E490" s="14" t="n">
        <v>25.75</v>
      </c>
      <c r="F490" s="14" t="n">
        <v>76</v>
      </c>
      <c r="G490" s="14" t="n">
        <v>1.957</v>
      </c>
      <c r="H490" s="14" t="n">
        <v>2</v>
      </c>
      <c r="I490" s="14"/>
      <c r="J490" s="14" t="n">
        <v>53.92</v>
      </c>
      <c r="K490" s="14" t="n">
        <v>55.08</v>
      </c>
      <c r="L490" s="14" t="n">
        <v>3.12</v>
      </c>
      <c r="M490" s="14" t="n">
        <v>23.8</v>
      </c>
      <c r="N490" s="14" t="n">
        <v>7.83</v>
      </c>
      <c r="O490" s="14"/>
      <c r="P490" s="14" t="n">
        <v>0.38</v>
      </c>
      <c r="Q490" s="14" t="n">
        <v>0.6</v>
      </c>
      <c r="R490" s="14"/>
      <c r="S490" s="14" t="n">
        <v>90.8</v>
      </c>
      <c r="T490" s="14" t="n">
        <v>0</v>
      </c>
      <c r="U490" s="14" t="n">
        <v>10.86</v>
      </c>
      <c r="V490" s="14" t="n">
        <v>19.55</v>
      </c>
      <c r="W490" s="14" t="n">
        <v>121.22</v>
      </c>
      <c r="X490" s="14" t="n">
        <v>152.89</v>
      </c>
      <c r="Y490" s="14" t="n">
        <v>31.68</v>
      </c>
      <c r="Z490" s="14" t="n">
        <v>0.57</v>
      </c>
      <c r="AA490" s="14" t="n">
        <v>0.03</v>
      </c>
      <c r="AB490" s="14" t="n">
        <v>0</v>
      </c>
      <c r="AC490" s="14" t="n">
        <v>0.02</v>
      </c>
      <c r="AD490" s="15" t="n">
        <f aca="false">H490*E490/1000</f>
        <v>0.0515</v>
      </c>
      <c r="AE490" s="15" t="n">
        <f aca="false">I490*E490/1000</f>
        <v>0</v>
      </c>
      <c r="AF490" s="16" t="n">
        <f aca="false">ROUND(S490+T490+U490+V490-W490,2)</f>
        <v>-0.01</v>
      </c>
      <c r="AG490" s="16" t="n">
        <f aca="false">ROUND(X490-W490-Y490,2)</f>
        <v>-0.01</v>
      </c>
    </row>
    <row r="491" customFormat="false" ht="15" hidden="false" customHeight="false" outlineLevel="0" collapsed="false">
      <c r="A491" s="13" t="s">
        <v>338</v>
      </c>
      <c r="B491" s="13" t="s">
        <v>256</v>
      </c>
      <c r="C491" s="13" t="s">
        <v>234</v>
      </c>
      <c r="D491" s="13" t="s">
        <v>339</v>
      </c>
      <c r="E491" s="14" t="n">
        <v>107</v>
      </c>
      <c r="F491" s="14" t="n">
        <v>8</v>
      </c>
      <c r="G491" s="14" t="n">
        <v>0.856</v>
      </c>
      <c r="H491" s="14"/>
      <c r="I491" s="14"/>
      <c r="J491" s="14" t="n">
        <v>53.92</v>
      </c>
      <c r="K491" s="14" t="n">
        <v>55.08</v>
      </c>
      <c r="L491" s="14" t="n">
        <v>3.12</v>
      </c>
      <c r="M491" s="14" t="n">
        <v>23.04</v>
      </c>
      <c r="N491" s="14" t="n">
        <v>7.83</v>
      </c>
      <c r="O491" s="14"/>
      <c r="P491" s="14" t="n">
        <v>0.38</v>
      </c>
      <c r="Q491" s="14" t="n">
        <v>0.6</v>
      </c>
      <c r="R491" s="14"/>
      <c r="S491" s="14" t="n">
        <v>90.04</v>
      </c>
      <c r="T491" s="14" t="n">
        <v>0</v>
      </c>
      <c r="U491" s="14" t="n">
        <v>10.86</v>
      </c>
      <c r="V491" s="14" t="n">
        <v>25.8</v>
      </c>
      <c r="W491" s="14" t="n">
        <v>126.71</v>
      </c>
      <c r="X491" s="14" t="n">
        <v>257.43</v>
      </c>
      <c r="Y491" s="14" t="n">
        <v>130.72</v>
      </c>
      <c r="Z491" s="14" t="n">
        <v>1.12</v>
      </c>
      <c r="AA491" s="14" t="n">
        <v>0</v>
      </c>
      <c r="AB491" s="14" t="n">
        <v>0</v>
      </c>
      <c r="AC491" s="14" t="n">
        <v>0</v>
      </c>
      <c r="AD491" s="15" t="n">
        <f aca="false">H491*E491/1000</f>
        <v>0</v>
      </c>
      <c r="AE491" s="15" t="n">
        <f aca="false">I491*E491/1000</f>
        <v>0</v>
      </c>
      <c r="AF491" s="16" t="n">
        <f aca="false">ROUND(S491+T491+U491+V491-W491,2)</f>
        <v>-0.01</v>
      </c>
      <c r="AG491" s="16" t="n">
        <f aca="false">ROUND(X491-W491-Y491,2)</f>
        <v>0</v>
      </c>
    </row>
    <row r="492" customFormat="false" ht="15" hidden="false" customHeight="false" outlineLevel="0" collapsed="false">
      <c r="A492" s="13" t="s">
        <v>334</v>
      </c>
      <c r="B492" s="13" t="s">
        <v>256</v>
      </c>
      <c r="C492" s="13" t="s">
        <v>268</v>
      </c>
      <c r="D492" s="13" t="s">
        <v>335</v>
      </c>
      <c r="E492" s="14" t="n">
        <v>37</v>
      </c>
      <c r="F492" s="14" t="n">
        <v>672</v>
      </c>
      <c r="G492" s="14" t="n">
        <v>24.864</v>
      </c>
      <c r="H492" s="14" t="n">
        <v>41</v>
      </c>
      <c r="I492" s="14"/>
      <c r="J492" s="14" t="n">
        <v>53.25</v>
      </c>
      <c r="K492" s="14" t="n">
        <v>54.69</v>
      </c>
      <c r="L492" s="14" t="n">
        <v>4.66</v>
      </c>
      <c r="M492" s="14" t="n">
        <v>29.44</v>
      </c>
      <c r="N492" s="14" t="n">
        <v>4.76</v>
      </c>
      <c r="O492" s="14"/>
      <c r="P492" s="14" t="n">
        <v>0.38</v>
      </c>
      <c r="Q492" s="14" t="n">
        <v>0.6</v>
      </c>
      <c r="R492" s="14"/>
      <c r="S492" s="14" t="n">
        <v>94.52</v>
      </c>
      <c r="T492" s="14" t="n">
        <v>14.42</v>
      </c>
      <c r="U492" s="14" t="n">
        <v>15.86</v>
      </c>
      <c r="V492" s="14" t="n">
        <v>23.61</v>
      </c>
      <c r="W492" s="14" t="n">
        <v>148.42</v>
      </c>
      <c r="X492" s="14" t="n">
        <v>201.33</v>
      </c>
      <c r="Y492" s="14" t="n">
        <v>52.91</v>
      </c>
      <c r="Z492" s="14" t="n">
        <v>11.3</v>
      </c>
      <c r="AA492" s="14" t="n">
        <v>1.05</v>
      </c>
      <c r="AB492" s="14" t="n">
        <v>0</v>
      </c>
      <c r="AC492" s="14" t="n">
        <v>0.8</v>
      </c>
      <c r="AD492" s="15" t="n">
        <f aca="false">H492*E492/1000</f>
        <v>1.517</v>
      </c>
      <c r="AE492" s="15" t="n">
        <f aca="false">I492*E492/1000</f>
        <v>0</v>
      </c>
      <c r="AF492" s="16" t="n">
        <f aca="false">ROUND(S492+T492+U492+V492-W492,2)</f>
        <v>-0.01</v>
      </c>
      <c r="AG492" s="16" t="n">
        <f aca="false">ROUND(X492-W492-Y492,2)</f>
        <v>0</v>
      </c>
    </row>
    <row r="493" customFormat="false" ht="15" hidden="false" customHeight="false" outlineLevel="0" collapsed="false">
      <c r="A493" s="13" t="s">
        <v>340</v>
      </c>
      <c r="B493" s="13" t="s">
        <v>256</v>
      </c>
      <c r="C493" s="13" t="s">
        <v>268</v>
      </c>
      <c r="D493" s="13" t="s">
        <v>341</v>
      </c>
      <c r="E493" s="14" t="n">
        <v>25.75</v>
      </c>
      <c r="F493" s="14" t="n">
        <v>108</v>
      </c>
      <c r="G493" s="14" t="n">
        <v>2.781</v>
      </c>
      <c r="H493" s="14" t="n">
        <v>24</v>
      </c>
      <c r="I493" s="14"/>
      <c r="J493" s="14" t="n">
        <v>53.92</v>
      </c>
      <c r="K493" s="14" t="n">
        <v>54.82</v>
      </c>
      <c r="L493" s="14" t="n">
        <v>4.6</v>
      </c>
      <c r="M493" s="14" t="n">
        <v>23.8</v>
      </c>
      <c r="N493" s="14" t="n">
        <v>4.76</v>
      </c>
      <c r="O493" s="14"/>
      <c r="P493" s="14" t="n">
        <v>0.38</v>
      </c>
      <c r="Q493" s="14" t="n">
        <v>0.6</v>
      </c>
      <c r="R493" s="14"/>
      <c r="S493" s="14" t="n">
        <v>88.95</v>
      </c>
      <c r="T493" s="14" t="n">
        <v>0</v>
      </c>
      <c r="U493" s="14" t="n">
        <v>10.86</v>
      </c>
      <c r="V493" s="14" t="n">
        <v>19.83</v>
      </c>
      <c r="W493" s="14" t="n">
        <v>119.64</v>
      </c>
      <c r="X493" s="14" t="n">
        <v>152.89</v>
      </c>
      <c r="Y493" s="14" t="n">
        <v>33.25</v>
      </c>
      <c r="Z493" s="14" t="n">
        <v>0.34</v>
      </c>
      <c r="AA493" s="14" t="n">
        <v>0.38</v>
      </c>
      <c r="AB493" s="14" t="n">
        <v>0</v>
      </c>
      <c r="AC493" s="14" t="n">
        <v>0.21</v>
      </c>
      <c r="AD493" s="15" t="n">
        <f aca="false">H493*E493/1000</f>
        <v>0.618</v>
      </c>
      <c r="AE493" s="15" t="n">
        <f aca="false">I493*E493/1000</f>
        <v>0</v>
      </c>
      <c r="AF493" s="16" t="n">
        <f aca="false">ROUND(S493+T493+U493+V493-W493,2)</f>
        <v>0</v>
      </c>
      <c r="AG493" s="16" t="n">
        <f aca="false">ROUND(X493-W493-Y493,2)</f>
        <v>0</v>
      </c>
    </row>
    <row r="494" customFormat="false" ht="15" hidden="false" customHeight="false" outlineLevel="0" collapsed="false">
      <c r="A494" s="13" t="s">
        <v>336</v>
      </c>
      <c r="B494" s="13" t="s">
        <v>256</v>
      </c>
      <c r="C494" s="13" t="s">
        <v>268</v>
      </c>
      <c r="D494" s="13" t="s">
        <v>337</v>
      </c>
      <c r="E494" s="14" t="n">
        <v>8.9</v>
      </c>
      <c r="F494" s="14" t="n">
        <v>168</v>
      </c>
      <c r="G494" s="14" t="n">
        <v>1.4952</v>
      </c>
      <c r="H494" s="14" t="n">
        <v>37</v>
      </c>
      <c r="I494" s="14"/>
      <c r="J494" s="14" t="n">
        <v>44.12</v>
      </c>
      <c r="K494" s="14" t="n">
        <v>56.32</v>
      </c>
      <c r="L494" s="14" t="n">
        <v>5.62</v>
      </c>
      <c r="M494" s="14" t="n">
        <v>43.69</v>
      </c>
      <c r="N494" s="14" t="n">
        <v>4.76</v>
      </c>
      <c r="O494" s="14"/>
      <c r="P494" s="14" t="n">
        <v>0.38</v>
      </c>
      <c r="Q494" s="14" t="n">
        <v>0.6</v>
      </c>
      <c r="R494" s="14"/>
      <c r="S494" s="14" t="n">
        <v>111.36</v>
      </c>
      <c r="T494" s="14" t="n">
        <v>14.83</v>
      </c>
      <c r="U494" s="14" t="n">
        <v>10.86</v>
      </c>
      <c r="V494" s="14" t="n">
        <v>26.28</v>
      </c>
      <c r="W494" s="14" t="n">
        <v>163.34</v>
      </c>
      <c r="X494" s="14" t="n">
        <v>167.29</v>
      </c>
      <c r="Y494" s="14" t="n">
        <v>3.96</v>
      </c>
      <c r="Z494" s="14" t="n">
        <v>-0.25</v>
      </c>
      <c r="AA494" s="14" t="n">
        <v>0.29</v>
      </c>
      <c r="AB494" s="14" t="n">
        <v>0</v>
      </c>
      <c r="AC494" s="14" t="n">
        <v>0.01</v>
      </c>
      <c r="AD494" s="15" t="n">
        <f aca="false">H494*E494/1000</f>
        <v>0.3293</v>
      </c>
      <c r="AE494" s="15" t="n">
        <f aca="false">I494*E494/1000</f>
        <v>0</v>
      </c>
      <c r="AF494" s="16" t="n">
        <f aca="false">ROUND(S494+T494+U494+V494-W494,2)</f>
        <v>-0.01</v>
      </c>
      <c r="AG494" s="16" t="n">
        <f aca="false">ROUND(X494-W494-Y494,2)</f>
        <v>-0.01</v>
      </c>
    </row>
    <row r="495" customFormat="false" ht="15" hidden="false" customHeight="false" outlineLevel="0" collapsed="false">
      <c r="A495" s="13" t="s">
        <v>338</v>
      </c>
      <c r="B495" s="13" t="s">
        <v>256</v>
      </c>
      <c r="C495" s="13" t="s">
        <v>268</v>
      </c>
      <c r="D495" s="13" t="s">
        <v>339</v>
      </c>
      <c r="E495" s="14" t="n">
        <v>107</v>
      </c>
      <c r="F495" s="14" t="n">
        <v>1</v>
      </c>
      <c r="G495" s="14" t="n">
        <v>0.107</v>
      </c>
      <c r="H495" s="14"/>
      <c r="I495" s="14"/>
      <c r="J495" s="14" t="n">
        <v>53.92</v>
      </c>
      <c r="K495" s="14" t="n">
        <v>54.82</v>
      </c>
      <c r="L495" s="14" t="n">
        <v>4.6</v>
      </c>
      <c r="M495" s="14" t="n">
        <v>23.04</v>
      </c>
      <c r="N495" s="14" t="n">
        <v>4.76</v>
      </c>
      <c r="O495" s="14"/>
      <c r="P495" s="14" t="n">
        <v>0.38</v>
      </c>
      <c r="Q495" s="14" t="n">
        <v>0.6</v>
      </c>
      <c r="R495" s="14"/>
      <c r="S495" s="14" t="n">
        <v>88.19</v>
      </c>
      <c r="T495" s="14" t="n">
        <v>0</v>
      </c>
      <c r="U495" s="14" t="n">
        <v>10.86</v>
      </c>
      <c r="V495" s="14" t="n">
        <v>26.17</v>
      </c>
      <c r="W495" s="14" t="n">
        <v>125.23</v>
      </c>
      <c r="X495" s="14" t="n">
        <v>257.43</v>
      </c>
      <c r="Y495" s="14" t="n">
        <v>132.2</v>
      </c>
      <c r="Z495" s="14" t="n">
        <v>0.14</v>
      </c>
      <c r="AA495" s="14" t="n">
        <v>0</v>
      </c>
      <c r="AB495" s="14" t="n">
        <v>0</v>
      </c>
      <c r="AC495" s="14" t="n">
        <v>0</v>
      </c>
      <c r="AD495" s="15" t="n">
        <f aca="false">H495*E495/1000</f>
        <v>0</v>
      </c>
      <c r="AE495" s="15" t="n">
        <f aca="false">I495*E495/1000</f>
        <v>0</v>
      </c>
      <c r="AF495" s="16" t="n">
        <f aca="false">ROUND(S495+T495+U495+V495-W495,2)</f>
        <v>-0.01</v>
      </c>
      <c r="AG495" s="16" t="n">
        <f aca="false">ROUND(X495-W495-Y495,2)</f>
        <v>0</v>
      </c>
    </row>
    <row r="496" customFormat="false" ht="15" hidden="false" customHeight="false" outlineLevel="0" collapsed="false">
      <c r="A496" s="13" t="s">
        <v>332</v>
      </c>
      <c r="B496" s="13" t="s">
        <v>256</v>
      </c>
      <c r="C496" s="13" t="s">
        <v>269</v>
      </c>
      <c r="D496" s="13" t="s">
        <v>333</v>
      </c>
      <c r="E496" s="14" t="n">
        <v>210</v>
      </c>
      <c r="F496" s="14" t="n">
        <v>1</v>
      </c>
      <c r="G496" s="14" t="n">
        <v>0.21</v>
      </c>
      <c r="H496" s="14"/>
      <c r="I496" s="14"/>
      <c r="J496" s="14" t="n">
        <v>48.82</v>
      </c>
      <c r="K496" s="14" t="n">
        <v>53.59</v>
      </c>
      <c r="L496" s="14" t="n">
        <v>2.33</v>
      </c>
      <c r="M496" s="14" t="n">
        <v>39.84</v>
      </c>
      <c r="N496" s="14" t="n">
        <v>4.76</v>
      </c>
      <c r="O496" s="14"/>
      <c r="P496" s="14" t="n">
        <v>0.38</v>
      </c>
      <c r="Q496" s="14" t="n">
        <v>0.6</v>
      </c>
      <c r="R496" s="14" t="n">
        <v>0.5</v>
      </c>
      <c r="S496" s="14" t="n">
        <v>102</v>
      </c>
      <c r="T496" s="14" t="n">
        <v>4.4</v>
      </c>
      <c r="U496" s="14" t="n">
        <v>15.86</v>
      </c>
      <c r="V496" s="14" t="n">
        <v>27.5</v>
      </c>
      <c r="W496" s="14" t="n">
        <v>149.76</v>
      </c>
      <c r="X496" s="14" t="n">
        <v>178.32</v>
      </c>
      <c r="Y496" s="14" t="n">
        <v>28.56</v>
      </c>
      <c r="Z496" s="14" t="n">
        <v>0.06</v>
      </c>
      <c r="AA496" s="14" t="n">
        <v>0</v>
      </c>
      <c r="AB496" s="14" t="n">
        <v>0</v>
      </c>
      <c r="AC496" s="14" t="n">
        <v>0</v>
      </c>
      <c r="AD496" s="15" t="n">
        <f aca="false">H496*E496/1000</f>
        <v>0</v>
      </c>
      <c r="AE496" s="15" t="n">
        <f aca="false">I496*E496/1000</f>
        <v>0</v>
      </c>
      <c r="AF496" s="16" t="n">
        <f aca="false">ROUND(S496+T496+U496+V496-W496,2)</f>
        <v>0</v>
      </c>
      <c r="AG496" s="16" t="n">
        <f aca="false">ROUND(X496-W496-Y496,2)</f>
        <v>0</v>
      </c>
    </row>
    <row r="497" customFormat="false" ht="15" hidden="false" customHeight="false" outlineLevel="0" collapsed="false">
      <c r="A497" s="13" t="s">
        <v>334</v>
      </c>
      <c r="B497" s="13" t="s">
        <v>256</v>
      </c>
      <c r="C497" s="13" t="s">
        <v>269</v>
      </c>
      <c r="D497" s="13" t="s">
        <v>335</v>
      </c>
      <c r="E497" s="14" t="n">
        <v>37</v>
      </c>
      <c r="F497" s="14" t="n">
        <v>664</v>
      </c>
      <c r="G497" s="14" t="n">
        <v>24.568</v>
      </c>
      <c r="H497" s="14" t="n">
        <v>4</v>
      </c>
      <c r="I497" s="14"/>
      <c r="J497" s="14" t="n">
        <v>53.25</v>
      </c>
      <c r="K497" s="14" t="n">
        <v>52.9</v>
      </c>
      <c r="L497" s="14" t="n">
        <v>2.14</v>
      </c>
      <c r="M497" s="14" t="n">
        <v>26.66</v>
      </c>
      <c r="N497" s="14" t="n">
        <v>4.76</v>
      </c>
      <c r="O497" s="14"/>
      <c r="P497" s="14" t="n">
        <v>0.38</v>
      </c>
      <c r="Q497" s="14" t="n">
        <v>0.6</v>
      </c>
      <c r="R497" s="14"/>
      <c r="S497" s="14" t="n">
        <v>87.44</v>
      </c>
      <c r="T497" s="14" t="n">
        <v>14.42</v>
      </c>
      <c r="U497" s="14" t="n">
        <v>15.86</v>
      </c>
      <c r="V497" s="14" t="n">
        <v>23.61</v>
      </c>
      <c r="W497" s="14" t="n">
        <v>141.33</v>
      </c>
      <c r="X497" s="14" t="n">
        <v>201.33</v>
      </c>
      <c r="Y497" s="14" t="n">
        <v>60</v>
      </c>
      <c r="Z497" s="14" t="n">
        <v>14.56</v>
      </c>
      <c r="AA497" s="14" t="n">
        <v>0.09</v>
      </c>
      <c r="AB497" s="14" t="n">
        <v>0</v>
      </c>
      <c r="AC497" s="14" t="n">
        <v>0.09</v>
      </c>
      <c r="AD497" s="15" t="n">
        <f aca="false">H497*E497/1000</f>
        <v>0.148</v>
      </c>
      <c r="AE497" s="15" t="n">
        <f aca="false">I497*E497/1000</f>
        <v>0</v>
      </c>
      <c r="AF497" s="16" t="n">
        <f aca="false">ROUND(S497+T497+U497+V497-W497,2)</f>
        <v>0</v>
      </c>
      <c r="AG497" s="16" t="n">
        <f aca="false">ROUND(X497-W497-Y497,2)</f>
        <v>0</v>
      </c>
    </row>
    <row r="498" customFormat="false" ht="15" hidden="false" customHeight="false" outlineLevel="0" collapsed="false">
      <c r="A498" s="13" t="s">
        <v>340</v>
      </c>
      <c r="B498" s="13" t="s">
        <v>256</v>
      </c>
      <c r="C498" s="13" t="s">
        <v>269</v>
      </c>
      <c r="D498" s="13" t="s">
        <v>341</v>
      </c>
      <c r="E498" s="14" t="n">
        <v>25.75</v>
      </c>
      <c r="F498" s="14" t="n">
        <v>344</v>
      </c>
      <c r="G498" s="14" t="n">
        <v>8.858</v>
      </c>
      <c r="H498" s="14"/>
      <c r="I498" s="14"/>
      <c r="J498" s="14" t="n">
        <v>53.92</v>
      </c>
      <c r="K498" s="14" t="n">
        <v>52.41</v>
      </c>
      <c r="L498" s="14" t="n">
        <v>2.11</v>
      </c>
      <c r="M498" s="14" t="n">
        <v>22.58</v>
      </c>
      <c r="N498" s="14" t="n">
        <v>4.76</v>
      </c>
      <c r="O498" s="14"/>
      <c r="P498" s="14" t="n">
        <v>0.38</v>
      </c>
      <c r="Q498" s="14" t="n">
        <v>0.6</v>
      </c>
      <c r="R498" s="14"/>
      <c r="S498" s="14" t="n">
        <v>82.83</v>
      </c>
      <c r="T498" s="14" t="n">
        <v>0</v>
      </c>
      <c r="U498" s="14" t="n">
        <v>10.86</v>
      </c>
      <c r="V498" s="14" t="n">
        <v>19.83</v>
      </c>
      <c r="W498" s="14" t="n">
        <v>113.52</v>
      </c>
      <c r="X498" s="14" t="n">
        <v>152.89</v>
      </c>
      <c r="Y498" s="14" t="n">
        <v>39.37</v>
      </c>
      <c r="Z498" s="14" t="n">
        <v>3.49</v>
      </c>
      <c r="AA498" s="14" t="n">
        <v>0</v>
      </c>
      <c r="AB498" s="14" t="n">
        <v>0</v>
      </c>
      <c r="AC498" s="14" t="n">
        <v>0</v>
      </c>
      <c r="AD498" s="15" t="n">
        <f aca="false">H498*E498/1000</f>
        <v>0</v>
      </c>
      <c r="AE498" s="15" t="n">
        <f aca="false">I498*E498/1000</f>
        <v>0</v>
      </c>
      <c r="AF498" s="16" t="n">
        <f aca="false">ROUND(S498+T498+U498+V498-W498,2)</f>
        <v>0</v>
      </c>
      <c r="AG498" s="16" t="n">
        <f aca="false">ROUND(X498-W498-Y498,2)</f>
        <v>0</v>
      </c>
    </row>
    <row r="499" customFormat="false" ht="15" hidden="false" customHeight="false" outlineLevel="0" collapsed="false">
      <c r="A499" s="13" t="s">
        <v>338</v>
      </c>
      <c r="B499" s="13" t="s">
        <v>256</v>
      </c>
      <c r="C499" s="13" t="s">
        <v>269</v>
      </c>
      <c r="D499" s="13" t="s">
        <v>339</v>
      </c>
      <c r="E499" s="14" t="n">
        <v>107</v>
      </c>
      <c r="F499" s="14" t="n">
        <v>22</v>
      </c>
      <c r="G499" s="14" t="n">
        <v>2.354</v>
      </c>
      <c r="H499" s="14"/>
      <c r="I499" s="14"/>
      <c r="J499" s="14" t="n">
        <v>45.1</v>
      </c>
      <c r="K499" s="14" t="n">
        <v>53.87</v>
      </c>
      <c r="L499" s="14" t="n">
        <v>2.53</v>
      </c>
      <c r="M499" s="14" t="n">
        <v>21.56</v>
      </c>
      <c r="N499" s="14" t="n">
        <v>4.76</v>
      </c>
      <c r="O499" s="14"/>
      <c r="P499" s="14" t="n">
        <v>0.38</v>
      </c>
      <c r="Q499" s="14" t="n">
        <v>0.6</v>
      </c>
      <c r="R499" s="14"/>
      <c r="S499" s="14" t="n">
        <v>83.7</v>
      </c>
      <c r="T499" s="14" t="n">
        <v>57.01</v>
      </c>
      <c r="U499" s="14" t="n">
        <v>10.86</v>
      </c>
      <c r="V499" s="14" t="n">
        <v>28.66</v>
      </c>
      <c r="W499" s="14" t="n">
        <v>180.23</v>
      </c>
      <c r="X499" s="14" t="n">
        <v>257.43</v>
      </c>
      <c r="Y499" s="14" t="n">
        <v>77.2</v>
      </c>
      <c r="Z499" s="14" t="n">
        <v>1.82</v>
      </c>
      <c r="AA499" s="14" t="n">
        <v>0</v>
      </c>
      <c r="AB499" s="14" t="n">
        <v>0</v>
      </c>
      <c r="AC499" s="14" t="n">
        <v>0</v>
      </c>
      <c r="AD499" s="15" t="n">
        <f aca="false">H499*E499/1000</f>
        <v>0</v>
      </c>
      <c r="AE499" s="15" t="n">
        <f aca="false">I499*E499/1000</f>
        <v>0</v>
      </c>
      <c r="AF499" s="16" t="n">
        <f aca="false">ROUND(S499+T499+U499+V499-W499,2)</f>
        <v>0</v>
      </c>
      <c r="AG499" s="16" t="n">
        <f aca="false">ROUND(X499-W499-Y499,2)</f>
        <v>0</v>
      </c>
    </row>
    <row r="500" customFormat="false" ht="15" hidden="false" customHeight="false" outlineLevel="0" collapsed="false">
      <c r="A500" s="13" t="s">
        <v>334</v>
      </c>
      <c r="B500" s="13" t="s">
        <v>256</v>
      </c>
      <c r="C500" s="13" t="s">
        <v>235</v>
      </c>
      <c r="D500" s="13" t="s">
        <v>335</v>
      </c>
      <c r="E500" s="14" t="n">
        <v>37</v>
      </c>
      <c r="F500" s="14" t="n">
        <v>500</v>
      </c>
      <c r="G500" s="14" t="n">
        <v>18.5</v>
      </c>
      <c r="H500" s="14" t="n">
        <v>2</v>
      </c>
      <c r="I500" s="14"/>
      <c r="J500" s="14" t="n">
        <v>53.25</v>
      </c>
      <c r="K500" s="14" t="n">
        <v>54.06</v>
      </c>
      <c r="L500" s="14" t="n">
        <v>3.94</v>
      </c>
      <c r="M500" s="14" t="n">
        <v>20.79</v>
      </c>
      <c r="N500" s="14" t="n">
        <v>6.63</v>
      </c>
      <c r="O500" s="14"/>
      <c r="P500" s="14" t="n">
        <v>0.38</v>
      </c>
      <c r="Q500" s="14" t="n">
        <v>0.6</v>
      </c>
      <c r="R500" s="14"/>
      <c r="S500" s="14" t="n">
        <v>86.4</v>
      </c>
      <c r="T500" s="14" t="n">
        <v>14.42</v>
      </c>
      <c r="U500" s="14" t="n">
        <v>15.86</v>
      </c>
      <c r="V500" s="14" t="n">
        <v>23.61</v>
      </c>
      <c r="W500" s="14" t="n">
        <v>140.3</v>
      </c>
      <c r="X500" s="14" t="n">
        <v>201.33</v>
      </c>
      <c r="Y500" s="14" t="n">
        <v>61.03</v>
      </c>
      <c r="Z500" s="14" t="n">
        <v>11.2</v>
      </c>
      <c r="AA500" s="14" t="n">
        <v>0.05</v>
      </c>
      <c r="AB500" s="14" t="n">
        <v>0</v>
      </c>
      <c r="AC500" s="14" t="n">
        <v>0.05</v>
      </c>
      <c r="AD500" s="15" t="n">
        <f aca="false">H500*E500/1000</f>
        <v>0.074</v>
      </c>
      <c r="AE500" s="15" t="n">
        <f aca="false">I500*E500/1000</f>
        <v>0</v>
      </c>
      <c r="AF500" s="16" t="n">
        <f aca="false">ROUND(S500+T500+U500+V500-W500,2)</f>
        <v>-0.01</v>
      </c>
      <c r="AG500" s="16" t="n">
        <f aca="false">ROUND(X500-W500-Y500,2)</f>
        <v>0</v>
      </c>
    </row>
    <row r="501" customFormat="false" ht="15" hidden="false" customHeight="false" outlineLevel="0" collapsed="false">
      <c r="A501" s="13" t="s">
        <v>340</v>
      </c>
      <c r="B501" s="13" t="s">
        <v>256</v>
      </c>
      <c r="C501" s="13" t="s">
        <v>235</v>
      </c>
      <c r="D501" s="13" t="s">
        <v>341</v>
      </c>
      <c r="E501" s="14" t="n">
        <v>25.75</v>
      </c>
      <c r="F501" s="14" t="n">
        <v>436</v>
      </c>
      <c r="G501" s="14" t="n">
        <v>11.227</v>
      </c>
      <c r="H501" s="14" t="n">
        <v>4</v>
      </c>
      <c r="I501" s="14"/>
      <c r="J501" s="14" t="n">
        <v>53.92</v>
      </c>
      <c r="K501" s="14" t="n">
        <v>51.93</v>
      </c>
      <c r="L501" s="14" t="n">
        <v>3.89</v>
      </c>
      <c r="M501" s="14" t="n">
        <v>18.23</v>
      </c>
      <c r="N501" s="14" t="n">
        <v>6.63</v>
      </c>
      <c r="O501" s="14"/>
      <c r="P501" s="14" t="n">
        <v>0.38</v>
      </c>
      <c r="Q501" s="14" t="n">
        <v>0.6</v>
      </c>
      <c r="R501" s="14"/>
      <c r="S501" s="14" t="n">
        <v>81.66</v>
      </c>
      <c r="T501" s="14" t="n">
        <v>0</v>
      </c>
      <c r="U501" s="14" t="n">
        <v>10.86</v>
      </c>
      <c r="V501" s="14" t="n">
        <v>19.83</v>
      </c>
      <c r="W501" s="14" t="n">
        <v>112.35</v>
      </c>
      <c r="X501" s="14" t="n">
        <v>152.89</v>
      </c>
      <c r="Y501" s="14" t="n">
        <v>40.54</v>
      </c>
      <c r="Z501" s="14" t="n">
        <v>4.45</v>
      </c>
      <c r="AA501" s="14" t="n">
        <v>0.06</v>
      </c>
      <c r="AB501" s="14" t="n">
        <v>0</v>
      </c>
      <c r="AC501" s="14" t="n">
        <v>0.04</v>
      </c>
      <c r="AD501" s="15" t="n">
        <f aca="false">H501*E501/1000</f>
        <v>0.103</v>
      </c>
      <c r="AE501" s="15" t="n">
        <f aca="false">I501*E501/1000</f>
        <v>0</v>
      </c>
      <c r="AF501" s="16" t="n">
        <f aca="false">ROUND(S501+T501+U501+V501-W501,2)</f>
        <v>0</v>
      </c>
      <c r="AG501" s="16" t="n">
        <f aca="false">ROUND(X501-W501-Y501,2)</f>
        <v>0</v>
      </c>
    </row>
    <row r="502" customFormat="false" ht="15" hidden="false" customHeight="false" outlineLevel="0" collapsed="false">
      <c r="A502" s="13" t="s">
        <v>338</v>
      </c>
      <c r="B502" s="13" t="s">
        <v>256</v>
      </c>
      <c r="C502" s="13" t="s">
        <v>235</v>
      </c>
      <c r="D502" s="13" t="s">
        <v>339</v>
      </c>
      <c r="E502" s="14" t="n">
        <v>107</v>
      </c>
      <c r="F502" s="14" t="n">
        <v>7</v>
      </c>
      <c r="G502" s="14" t="n">
        <v>0.749</v>
      </c>
      <c r="H502" s="14" t="n">
        <v>3</v>
      </c>
      <c r="I502" s="14"/>
      <c r="J502" s="14" t="n">
        <v>45.1</v>
      </c>
      <c r="K502" s="14" t="n">
        <v>53.38</v>
      </c>
      <c r="L502" s="14" t="n">
        <v>4.66</v>
      </c>
      <c r="M502" s="14" t="n">
        <v>20.41</v>
      </c>
      <c r="N502" s="14" t="n">
        <v>6.63</v>
      </c>
      <c r="O502" s="14"/>
      <c r="P502" s="14" t="n">
        <v>0.38</v>
      </c>
      <c r="Q502" s="14" t="n">
        <v>0.6</v>
      </c>
      <c r="R502" s="14"/>
      <c r="S502" s="14" t="n">
        <v>86.06</v>
      </c>
      <c r="T502" s="14" t="n">
        <v>57.01</v>
      </c>
      <c r="U502" s="14" t="n">
        <v>11.86</v>
      </c>
      <c r="V502" s="14" t="n">
        <v>28.66</v>
      </c>
      <c r="W502" s="14" t="n">
        <v>183.59</v>
      </c>
      <c r="X502" s="14" t="n">
        <v>257.43</v>
      </c>
      <c r="Y502" s="14" t="n">
        <v>73.84</v>
      </c>
      <c r="Z502" s="14" t="n">
        <v>0.1</v>
      </c>
      <c r="AA502" s="14" t="n">
        <v>0.21</v>
      </c>
      <c r="AB502" s="14" t="n">
        <v>0</v>
      </c>
      <c r="AC502" s="14" t="n">
        <v>0.24</v>
      </c>
      <c r="AD502" s="15" t="n">
        <f aca="false">H502*E502/1000</f>
        <v>0.321</v>
      </c>
      <c r="AE502" s="15" t="n">
        <f aca="false">I502*E502/1000</f>
        <v>0</v>
      </c>
      <c r="AF502" s="16" t="n">
        <f aca="false">ROUND(S502+T502+U502+V502-W502,2)</f>
        <v>0</v>
      </c>
      <c r="AG502" s="16" t="n">
        <f aca="false">ROUND(X502-W502-Y502,2)</f>
        <v>0</v>
      </c>
    </row>
    <row r="503" customFormat="false" ht="15" hidden="false" customHeight="false" outlineLevel="0" collapsed="false">
      <c r="A503" s="13" t="s">
        <v>334</v>
      </c>
      <c r="B503" s="13" t="s">
        <v>256</v>
      </c>
      <c r="C503" s="13" t="s">
        <v>240</v>
      </c>
      <c r="D503" s="13" t="s">
        <v>335</v>
      </c>
      <c r="E503" s="14" t="n">
        <v>37</v>
      </c>
      <c r="F503" s="14" t="n">
        <v>104</v>
      </c>
      <c r="G503" s="14" t="n">
        <v>3.848</v>
      </c>
      <c r="H503" s="14" t="n">
        <v>34</v>
      </c>
      <c r="I503" s="14"/>
      <c r="J503" s="14" t="n">
        <v>53.25</v>
      </c>
      <c r="K503" s="14" t="n">
        <v>55.79</v>
      </c>
      <c r="L503" s="14" t="n">
        <v>2.94</v>
      </c>
      <c r="M503" s="14" t="n">
        <v>25.72</v>
      </c>
      <c r="N503" s="14" t="n">
        <v>8.74</v>
      </c>
      <c r="O503" s="14"/>
      <c r="P503" s="14" t="n">
        <v>0.38</v>
      </c>
      <c r="Q503" s="14" t="n">
        <v>0.6</v>
      </c>
      <c r="R503" s="14"/>
      <c r="S503" s="14" t="n">
        <v>94.16</v>
      </c>
      <c r="T503" s="14" t="n">
        <v>14.42</v>
      </c>
      <c r="U503" s="14" t="n">
        <v>15.86</v>
      </c>
      <c r="V503" s="14" t="n">
        <v>23.61</v>
      </c>
      <c r="W503" s="14" t="n">
        <v>148.06</v>
      </c>
      <c r="X503" s="14" t="n">
        <v>201.33</v>
      </c>
      <c r="Y503" s="14" t="n">
        <v>53.27</v>
      </c>
      <c r="Z503" s="14" t="n">
        <v>0.52</v>
      </c>
      <c r="AA503" s="14" t="n">
        <v>0.86</v>
      </c>
      <c r="AB503" s="14" t="n">
        <v>0</v>
      </c>
      <c r="AC503" s="14" t="n">
        <v>0.67</v>
      </c>
      <c r="AD503" s="15" t="n">
        <f aca="false">H503*E503/1000</f>
        <v>1.258</v>
      </c>
      <c r="AE503" s="15" t="n">
        <f aca="false">I503*E503/1000</f>
        <v>0</v>
      </c>
      <c r="AF503" s="16" t="n">
        <f aca="false">ROUND(S503+T503+U503+V503-W503,2)</f>
        <v>-0.01</v>
      </c>
      <c r="AG503" s="16" t="n">
        <f aca="false">ROUND(X503-W503-Y503,2)</f>
        <v>0</v>
      </c>
    </row>
    <row r="504" customFormat="false" ht="15" hidden="false" customHeight="false" outlineLevel="0" collapsed="false">
      <c r="A504" s="13" t="s">
        <v>340</v>
      </c>
      <c r="B504" s="13" t="s">
        <v>256</v>
      </c>
      <c r="C504" s="13" t="s">
        <v>240</v>
      </c>
      <c r="D504" s="13" t="s">
        <v>341</v>
      </c>
      <c r="E504" s="14" t="n">
        <v>25.75</v>
      </c>
      <c r="F504" s="14" t="n">
        <v>68</v>
      </c>
      <c r="G504" s="14" t="n">
        <v>1.751</v>
      </c>
      <c r="H504" s="14"/>
      <c r="I504" s="14"/>
      <c r="J504" s="14" t="n">
        <v>53.92</v>
      </c>
      <c r="K504" s="14" t="n">
        <v>52.65</v>
      </c>
      <c r="L504" s="14" t="n">
        <v>2.9</v>
      </c>
      <c r="M504" s="14" t="n">
        <v>21.88</v>
      </c>
      <c r="N504" s="14" t="n">
        <v>8.74</v>
      </c>
      <c r="O504" s="14"/>
      <c r="P504" s="14" t="n">
        <v>0.38</v>
      </c>
      <c r="Q504" s="14" t="n">
        <v>0.6</v>
      </c>
      <c r="R504" s="14"/>
      <c r="S504" s="14" t="n">
        <v>87.15</v>
      </c>
      <c r="T504" s="14" t="n">
        <v>0</v>
      </c>
      <c r="U504" s="14" t="n">
        <v>10.86</v>
      </c>
      <c r="V504" s="14" t="n">
        <v>19.83</v>
      </c>
      <c r="W504" s="14" t="n">
        <v>117.84</v>
      </c>
      <c r="X504" s="14" t="n">
        <v>152.89</v>
      </c>
      <c r="Y504" s="14" t="n">
        <v>35.05</v>
      </c>
      <c r="Z504" s="14" t="n">
        <v>0.61</v>
      </c>
      <c r="AA504" s="14" t="n">
        <v>0</v>
      </c>
      <c r="AB504" s="14" t="n">
        <v>0</v>
      </c>
      <c r="AC504" s="14" t="n">
        <v>0</v>
      </c>
      <c r="AD504" s="15" t="n">
        <f aca="false">H504*E504/1000</f>
        <v>0</v>
      </c>
      <c r="AE504" s="15" t="n">
        <f aca="false">I504*E504/1000</f>
        <v>0</v>
      </c>
      <c r="AF504" s="16" t="n">
        <f aca="false">ROUND(S504+T504+U504+V504-W504,2)</f>
        <v>0</v>
      </c>
      <c r="AG504" s="16" t="n">
        <f aca="false">ROUND(X504-W504-Y504,2)</f>
        <v>0</v>
      </c>
    </row>
    <row r="505" customFormat="false" ht="15" hidden="false" customHeight="false" outlineLevel="0" collapsed="false">
      <c r="A505" s="13" t="s">
        <v>338</v>
      </c>
      <c r="B505" s="13" t="s">
        <v>256</v>
      </c>
      <c r="C505" s="13" t="s">
        <v>240</v>
      </c>
      <c r="D505" s="13" t="s">
        <v>339</v>
      </c>
      <c r="E505" s="14" t="n">
        <v>107</v>
      </c>
      <c r="F505" s="14" t="n">
        <v>14</v>
      </c>
      <c r="G505" s="14" t="n">
        <v>1.498</v>
      </c>
      <c r="H505" s="14" t="n">
        <v>5</v>
      </c>
      <c r="I505" s="14"/>
      <c r="J505" s="14" t="n">
        <v>45.1</v>
      </c>
      <c r="K505" s="14" t="n">
        <v>54.12</v>
      </c>
      <c r="L505" s="14" t="n">
        <v>3.47</v>
      </c>
      <c r="M505" s="14" t="n">
        <v>23.93</v>
      </c>
      <c r="N505" s="14" t="n">
        <v>8.74</v>
      </c>
      <c r="O505" s="14"/>
      <c r="P505" s="14" t="n">
        <v>0.38</v>
      </c>
      <c r="Q505" s="14" t="n">
        <v>0.6</v>
      </c>
      <c r="R505" s="14"/>
      <c r="S505" s="14" t="n">
        <v>91.24</v>
      </c>
      <c r="T505" s="14" t="n">
        <v>57.01</v>
      </c>
      <c r="U505" s="14" t="n">
        <v>11.86</v>
      </c>
      <c r="V505" s="14" t="n">
        <v>28.66</v>
      </c>
      <c r="W505" s="14" t="n">
        <v>188.77</v>
      </c>
      <c r="X505" s="14" t="n">
        <v>257.43</v>
      </c>
      <c r="Y505" s="14" t="n">
        <v>68.66</v>
      </c>
      <c r="Z505" s="14" t="n">
        <v>0.28</v>
      </c>
      <c r="AA505" s="14" t="n">
        <v>0.38</v>
      </c>
      <c r="AB505" s="14" t="n">
        <v>0</v>
      </c>
      <c r="AC505" s="14" t="n">
        <v>0.37</v>
      </c>
      <c r="AD505" s="15" t="n">
        <f aca="false">H505*E505/1000</f>
        <v>0.535</v>
      </c>
      <c r="AE505" s="15" t="n">
        <f aca="false">I505*E505/1000</f>
        <v>0</v>
      </c>
      <c r="AF505" s="16" t="n">
        <f aca="false">ROUND(S505+T505+U505+V505-W505,2)</f>
        <v>0</v>
      </c>
      <c r="AG505" s="16" t="n">
        <f aca="false">ROUND(X505-W505-Y505,2)</f>
        <v>0</v>
      </c>
    </row>
    <row r="506" customFormat="false" ht="15" hidden="false" customHeight="false" outlineLevel="0" collapsed="false">
      <c r="A506" s="13" t="s">
        <v>340</v>
      </c>
      <c r="B506" s="13" t="s">
        <v>256</v>
      </c>
      <c r="C506" s="13" t="s">
        <v>241</v>
      </c>
      <c r="D506" s="13" t="s">
        <v>341</v>
      </c>
      <c r="E506" s="14" t="n">
        <v>25.75</v>
      </c>
      <c r="F506" s="14" t="n">
        <v>72</v>
      </c>
      <c r="G506" s="14" t="n">
        <v>1.854</v>
      </c>
      <c r="H506" s="14" t="n">
        <v>6</v>
      </c>
      <c r="I506" s="14"/>
      <c r="J506" s="14" t="n">
        <v>53.92</v>
      </c>
      <c r="K506" s="14" t="n">
        <v>52.48</v>
      </c>
      <c r="L506" s="14" t="n">
        <v>2.9</v>
      </c>
      <c r="M506" s="14" t="n">
        <v>25.57</v>
      </c>
      <c r="N506" s="14" t="n">
        <v>3.88</v>
      </c>
      <c r="O506" s="14"/>
      <c r="P506" s="14" t="n">
        <v>0.38</v>
      </c>
      <c r="Q506" s="14" t="n">
        <v>0.6</v>
      </c>
      <c r="R506" s="14"/>
      <c r="S506" s="14" t="n">
        <v>85.81</v>
      </c>
      <c r="T506" s="14" t="n">
        <v>0</v>
      </c>
      <c r="U506" s="14" t="n">
        <v>11.87</v>
      </c>
      <c r="V506" s="14" t="n">
        <v>20.32</v>
      </c>
      <c r="W506" s="14" t="n">
        <v>118</v>
      </c>
      <c r="X506" s="14" t="n">
        <v>152.89</v>
      </c>
      <c r="Y506" s="14" t="n">
        <v>34.89</v>
      </c>
      <c r="Z506" s="14" t="n">
        <v>0.49</v>
      </c>
      <c r="AA506" s="14" t="n">
        <v>0.1</v>
      </c>
      <c r="AB506" s="14" t="n">
        <v>0</v>
      </c>
      <c r="AC506" s="14" t="n">
        <v>0.05</v>
      </c>
      <c r="AD506" s="15" t="n">
        <f aca="false">H506*E506/1000</f>
        <v>0.1545</v>
      </c>
      <c r="AE506" s="15" t="n">
        <f aca="false">I506*E506/1000</f>
        <v>0</v>
      </c>
      <c r="AF506" s="16" t="n">
        <f aca="false">ROUND(S506+T506+U506+V506-W506,2)</f>
        <v>0</v>
      </c>
      <c r="AG506" s="16" t="n">
        <f aca="false">ROUND(X506-W506-Y506,2)</f>
        <v>0</v>
      </c>
    </row>
    <row r="507" customFormat="false" ht="15" hidden="false" customHeight="false" outlineLevel="0" collapsed="false">
      <c r="A507" s="13" t="s">
        <v>336</v>
      </c>
      <c r="B507" s="13" t="s">
        <v>256</v>
      </c>
      <c r="C507" s="13" t="s">
        <v>241</v>
      </c>
      <c r="D507" s="13" t="s">
        <v>337</v>
      </c>
      <c r="E507" s="14" t="n">
        <v>8.35</v>
      </c>
      <c r="F507" s="14" t="n">
        <v>14</v>
      </c>
      <c r="G507" s="14" t="n">
        <v>0.1169</v>
      </c>
      <c r="H507" s="14" t="n">
        <v>10</v>
      </c>
      <c r="I507" s="14"/>
      <c r="J507" s="14" t="n">
        <v>44.12</v>
      </c>
      <c r="K507" s="14" t="n">
        <v>67.32</v>
      </c>
      <c r="L507" s="14" t="n">
        <v>3.55</v>
      </c>
      <c r="M507" s="14" t="n">
        <v>47.96</v>
      </c>
      <c r="N507" s="14" t="n">
        <v>3.88</v>
      </c>
      <c r="O507" s="14"/>
      <c r="P507" s="14" t="n">
        <v>0.38</v>
      </c>
      <c r="Q507" s="14" t="n">
        <v>0.6</v>
      </c>
      <c r="R507" s="14"/>
      <c r="S507" s="14" t="n">
        <v>123.68</v>
      </c>
      <c r="T507" s="14" t="n">
        <v>15.81</v>
      </c>
      <c r="U507" s="14" t="n">
        <v>11.87</v>
      </c>
      <c r="V507" s="14" t="n">
        <v>26.89</v>
      </c>
      <c r="W507" s="14" t="n">
        <v>178.25</v>
      </c>
      <c r="X507" s="14" t="n">
        <v>178.31</v>
      </c>
      <c r="Y507" s="14" t="n">
        <v>0.06</v>
      </c>
      <c r="Z507" s="14" t="n">
        <v>-0.08</v>
      </c>
      <c r="AA507" s="14" t="n">
        <v>0.08</v>
      </c>
      <c r="AB507" s="14" t="n">
        <v>0</v>
      </c>
      <c r="AC507" s="14" t="n">
        <v>0</v>
      </c>
      <c r="AD507" s="15" t="n">
        <f aca="false">H507*E507/1000</f>
        <v>0.0835</v>
      </c>
      <c r="AE507" s="15" t="n">
        <f aca="false">I507*E507/1000</f>
        <v>0</v>
      </c>
      <c r="AF507" s="16" t="n">
        <f aca="false">ROUND(S507+T507+U507+V507-W507,2)</f>
        <v>0</v>
      </c>
      <c r="AG507" s="16" t="n">
        <f aca="false">ROUND(X507-W507-Y507,2)</f>
        <v>0</v>
      </c>
    </row>
    <row r="508" customFormat="false" ht="15" hidden="false" customHeight="false" outlineLevel="0" collapsed="false">
      <c r="A508" s="13" t="s">
        <v>338</v>
      </c>
      <c r="B508" s="13" t="s">
        <v>256</v>
      </c>
      <c r="C508" s="13" t="s">
        <v>241</v>
      </c>
      <c r="D508" s="13" t="s">
        <v>339</v>
      </c>
      <c r="E508" s="14" t="n">
        <v>107</v>
      </c>
      <c r="F508" s="14" t="n">
        <v>14</v>
      </c>
      <c r="G508" s="14" t="n">
        <v>1.498</v>
      </c>
      <c r="H508" s="14" t="n">
        <v>4</v>
      </c>
      <c r="I508" s="14"/>
      <c r="J508" s="14" t="n">
        <v>45.1</v>
      </c>
      <c r="K508" s="14" t="n">
        <v>53.94</v>
      </c>
      <c r="L508" s="14" t="n">
        <v>3.47</v>
      </c>
      <c r="M508" s="14" t="n">
        <v>27.48</v>
      </c>
      <c r="N508" s="14" t="n">
        <v>3.88</v>
      </c>
      <c r="O508" s="14"/>
      <c r="P508" s="14" t="n">
        <v>0.38</v>
      </c>
      <c r="Q508" s="14" t="n">
        <v>0.6</v>
      </c>
      <c r="R508" s="14"/>
      <c r="S508" s="14" t="n">
        <v>89.75</v>
      </c>
      <c r="T508" s="14" t="n">
        <v>57.01</v>
      </c>
      <c r="U508" s="14" t="n">
        <v>12.87</v>
      </c>
      <c r="V508" s="14" t="n">
        <v>29.27</v>
      </c>
      <c r="W508" s="14" t="n">
        <v>188.9</v>
      </c>
      <c r="X508" s="14" t="n">
        <v>257.43</v>
      </c>
      <c r="Y508" s="14" t="n">
        <v>68.53</v>
      </c>
      <c r="Z508" s="14" t="n">
        <v>0.4</v>
      </c>
      <c r="AA508" s="14" t="n">
        <v>0.33</v>
      </c>
      <c r="AB508" s="14" t="n">
        <v>0</v>
      </c>
      <c r="AC508" s="14" t="n">
        <v>0.29</v>
      </c>
      <c r="AD508" s="15" t="n">
        <f aca="false">H508*E508/1000</f>
        <v>0.428</v>
      </c>
      <c r="AE508" s="15" t="n">
        <f aca="false">I508*E508/1000</f>
        <v>0</v>
      </c>
      <c r="AF508" s="16" t="n">
        <f aca="false">ROUND(S508+T508+U508+V508-W508,2)</f>
        <v>0</v>
      </c>
      <c r="AG508" s="16" t="n">
        <f aca="false">ROUND(X508-W508-Y508,2)</f>
        <v>0</v>
      </c>
    </row>
    <row r="509" customFormat="false" ht="15" hidden="false" customHeight="false" outlineLevel="0" collapsed="false">
      <c r="A509" s="13" t="s">
        <v>332</v>
      </c>
      <c r="B509" s="13" t="s">
        <v>256</v>
      </c>
      <c r="C509" s="13" t="s">
        <v>246</v>
      </c>
      <c r="D509" s="13" t="s">
        <v>333</v>
      </c>
      <c r="E509" s="14" t="n">
        <v>210</v>
      </c>
      <c r="F509" s="14" t="n">
        <v>10</v>
      </c>
      <c r="G509" s="14" t="n">
        <v>2.1</v>
      </c>
      <c r="H509" s="14"/>
      <c r="I509" s="14"/>
      <c r="J509" s="14" t="n">
        <v>48.82</v>
      </c>
      <c r="K509" s="14" t="n">
        <v>51.87</v>
      </c>
      <c r="L509" s="14" t="n">
        <v>2.43</v>
      </c>
      <c r="M509" s="14" t="n">
        <v>34.17</v>
      </c>
      <c r="N509" s="14" t="n">
        <v>5.49</v>
      </c>
      <c r="O509" s="14"/>
      <c r="P509" s="14" t="n">
        <v>0.38</v>
      </c>
      <c r="Q509" s="14" t="n">
        <v>0.6</v>
      </c>
      <c r="R509" s="14" t="n">
        <v>0.5</v>
      </c>
      <c r="S509" s="14" t="n">
        <v>95.44</v>
      </c>
      <c r="T509" s="14" t="n">
        <v>4.4</v>
      </c>
      <c r="U509" s="14" t="n">
        <v>15.65</v>
      </c>
      <c r="V509" s="14" t="n">
        <v>25.78</v>
      </c>
      <c r="W509" s="14" t="n">
        <v>141.27</v>
      </c>
      <c r="X509" s="14" t="n">
        <v>172.82</v>
      </c>
      <c r="Y509" s="14" t="n">
        <v>31.56</v>
      </c>
      <c r="Z509" s="14" t="n">
        <v>0.66</v>
      </c>
      <c r="AA509" s="14" t="n">
        <v>0</v>
      </c>
      <c r="AB509" s="14" t="n">
        <v>0</v>
      </c>
      <c r="AC509" s="14" t="n">
        <v>0</v>
      </c>
      <c r="AD509" s="15" t="n">
        <f aca="false">H509*E509/1000</f>
        <v>0</v>
      </c>
      <c r="AE509" s="15" t="n">
        <f aca="false">I509*E509/1000</f>
        <v>0</v>
      </c>
      <c r="AF509" s="16" t="n">
        <f aca="false">ROUND(S509+T509+U509+V509-W509,2)</f>
        <v>0</v>
      </c>
      <c r="AG509" s="16" t="n">
        <f aca="false">ROUND(X509-W509-Y509,2)</f>
        <v>-0.01</v>
      </c>
    </row>
    <row r="510" customFormat="false" ht="15" hidden="false" customHeight="false" outlineLevel="0" collapsed="false">
      <c r="A510" s="13" t="s">
        <v>334</v>
      </c>
      <c r="B510" s="13" t="s">
        <v>256</v>
      </c>
      <c r="C510" s="13" t="s">
        <v>246</v>
      </c>
      <c r="D510" s="13" t="s">
        <v>335</v>
      </c>
      <c r="E510" s="14" t="n">
        <v>37</v>
      </c>
      <c r="F510" s="14" t="n">
        <v>4</v>
      </c>
      <c r="G510" s="14" t="n">
        <v>0.148</v>
      </c>
      <c r="H510" s="14"/>
      <c r="I510" s="14"/>
      <c r="J510" s="14" t="n">
        <v>53.25</v>
      </c>
      <c r="K510" s="14" t="n">
        <v>51.2</v>
      </c>
      <c r="L510" s="14" t="n">
        <v>2.22</v>
      </c>
      <c r="M510" s="14" t="n">
        <v>22.42</v>
      </c>
      <c r="N510" s="14" t="n">
        <v>5.49</v>
      </c>
      <c r="O510" s="14"/>
      <c r="P510" s="14" t="n">
        <v>0.38</v>
      </c>
      <c r="Q510" s="14" t="n">
        <v>0.6</v>
      </c>
      <c r="R510" s="14"/>
      <c r="S510" s="14" t="n">
        <v>82.32</v>
      </c>
      <c r="T510" s="14" t="n">
        <v>14.42</v>
      </c>
      <c r="U510" s="14" t="n">
        <v>15.65</v>
      </c>
      <c r="V510" s="14" t="n">
        <v>22.16</v>
      </c>
      <c r="W510" s="14" t="n">
        <v>134.55</v>
      </c>
      <c r="X510" s="14" t="n">
        <v>198.53</v>
      </c>
      <c r="Y510" s="14" t="n">
        <v>63.97</v>
      </c>
      <c r="Z510" s="14" t="n">
        <v>0.09</v>
      </c>
      <c r="AA510" s="14" t="n">
        <v>0</v>
      </c>
      <c r="AB510" s="14" t="n">
        <v>0</v>
      </c>
      <c r="AC510" s="14" t="n">
        <v>0</v>
      </c>
      <c r="AD510" s="15" t="n">
        <f aca="false">H510*E510/1000</f>
        <v>0</v>
      </c>
      <c r="AE510" s="15" t="n">
        <f aca="false">I510*E510/1000</f>
        <v>0</v>
      </c>
      <c r="AF510" s="16" t="n">
        <f aca="false">ROUND(S510+T510+U510+V510-W510,2)</f>
        <v>0</v>
      </c>
      <c r="AG510" s="16" t="n">
        <f aca="false">ROUND(X510-W510-Y510,2)</f>
        <v>0.01</v>
      </c>
    </row>
    <row r="511" customFormat="false" ht="15" hidden="false" customHeight="false" outlineLevel="0" collapsed="false">
      <c r="A511" s="13" t="s">
        <v>340</v>
      </c>
      <c r="B511" s="13" t="s">
        <v>256</v>
      </c>
      <c r="C511" s="13" t="s">
        <v>246</v>
      </c>
      <c r="D511" s="13" t="s">
        <v>341</v>
      </c>
      <c r="E511" s="14" t="n">
        <v>25.75</v>
      </c>
      <c r="F511" s="14" t="n">
        <v>184</v>
      </c>
      <c r="G511" s="14" t="n">
        <v>4.738</v>
      </c>
      <c r="H511" s="14"/>
      <c r="I511" s="14"/>
      <c r="J511" s="14" t="n">
        <v>53.92</v>
      </c>
      <c r="K511" s="14" t="n">
        <v>50.66</v>
      </c>
      <c r="L511" s="14" t="n">
        <v>2.2</v>
      </c>
      <c r="M511" s="14" t="n">
        <v>19.44</v>
      </c>
      <c r="N511" s="14" t="n">
        <v>5.49</v>
      </c>
      <c r="O511" s="14"/>
      <c r="P511" s="14" t="n">
        <v>0.38</v>
      </c>
      <c r="Q511" s="14" t="n">
        <v>0.6</v>
      </c>
      <c r="R511" s="14"/>
      <c r="S511" s="14" t="n">
        <v>78.76</v>
      </c>
      <c r="T511" s="14" t="n">
        <v>0</v>
      </c>
      <c r="U511" s="14" t="n">
        <v>10.65</v>
      </c>
      <c r="V511" s="14" t="n">
        <v>18.67</v>
      </c>
      <c r="W511" s="14" t="n">
        <v>108.08</v>
      </c>
      <c r="X511" s="14" t="n">
        <v>152.89</v>
      </c>
      <c r="Y511" s="14" t="n">
        <v>44.81</v>
      </c>
      <c r="Z511" s="14" t="n">
        <v>2.12</v>
      </c>
      <c r="AA511" s="14" t="n">
        <v>0</v>
      </c>
      <c r="AB511" s="14" t="n">
        <v>0</v>
      </c>
      <c r="AC511" s="14" t="n">
        <v>0</v>
      </c>
      <c r="AD511" s="15" t="n">
        <f aca="false">H511*E511/1000</f>
        <v>0</v>
      </c>
      <c r="AE511" s="15" t="n">
        <f aca="false">I511*E511/1000</f>
        <v>0</v>
      </c>
      <c r="AF511" s="16" t="n">
        <f aca="false">ROUND(S511+T511+U511+V511-W511,2)</f>
        <v>0</v>
      </c>
      <c r="AG511" s="16" t="n">
        <f aca="false">ROUND(X511-W511-Y511,2)</f>
        <v>0</v>
      </c>
    </row>
    <row r="512" customFormat="false" ht="15" hidden="false" customHeight="false" outlineLevel="0" collapsed="false">
      <c r="A512" s="13" t="s">
        <v>336</v>
      </c>
      <c r="B512" s="13" t="s">
        <v>256</v>
      </c>
      <c r="C512" s="13" t="s">
        <v>246</v>
      </c>
      <c r="D512" s="13" t="s">
        <v>337</v>
      </c>
      <c r="E512" s="14" t="n">
        <v>8.35</v>
      </c>
      <c r="F512" s="14" t="n">
        <v>124</v>
      </c>
      <c r="G512" s="14" t="n">
        <v>1.0354</v>
      </c>
      <c r="H512" s="14" t="n">
        <v>7</v>
      </c>
      <c r="I512" s="14"/>
      <c r="J512" s="14" t="n">
        <v>44.12</v>
      </c>
      <c r="K512" s="14" t="n">
        <v>52.74</v>
      </c>
      <c r="L512" s="14" t="n">
        <v>2.68</v>
      </c>
      <c r="M512" s="14" t="n">
        <v>35.98</v>
      </c>
      <c r="N512" s="14" t="n">
        <v>5.49</v>
      </c>
      <c r="O512" s="14"/>
      <c r="P512" s="14" t="n">
        <v>0.38</v>
      </c>
      <c r="Q512" s="14" t="n">
        <v>0.6</v>
      </c>
      <c r="R512" s="14"/>
      <c r="S512" s="14" t="n">
        <v>97.87</v>
      </c>
      <c r="T512" s="14" t="n">
        <v>15.81</v>
      </c>
      <c r="U512" s="14" t="n">
        <v>10.65</v>
      </c>
      <c r="V512" s="14" t="n">
        <v>24.7</v>
      </c>
      <c r="W512" s="14" t="n">
        <v>149.03</v>
      </c>
      <c r="X512" s="14" t="n">
        <v>171.49</v>
      </c>
      <c r="Y512" s="14" t="n">
        <v>22.47</v>
      </c>
      <c r="Z512" s="14" t="n">
        <v>0.17</v>
      </c>
      <c r="AA512" s="14" t="n">
        <v>0.05</v>
      </c>
      <c r="AB512" s="14" t="n">
        <v>0</v>
      </c>
      <c r="AC512" s="14" t="n">
        <v>0.01</v>
      </c>
      <c r="AD512" s="15" t="n">
        <f aca="false">H512*E512/1000</f>
        <v>0.05845</v>
      </c>
      <c r="AE512" s="15" t="n">
        <f aca="false">I512*E512/1000</f>
        <v>0</v>
      </c>
      <c r="AF512" s="16" t="n">
        <f aca="false">ROUND(S512+T512+U512+V512-W512,2)</f>
        <v>0</v>
      </c>
      <c r="AG512" s="16" t="n">
        <f aca="false">ROUND(X512-W512-Y512,2)</f>
        <v>-0.01</v>
      </c>
    </row>
    <row r="513" customFormat="false" ht="15" hidden="false" customHeight="false" outlineLevel="0" collapsed="false">
      <c r="A513" s="13" t="s">
        <v>338</v>
      </c>
      <c r="B513" s="13" t="s">
        <v>256</v>
      </c>
      <c r="C513" s="13" t="s">
        <v>246</v>
      </c>
      <c r="D513" s="13" t="s">
        <v>339</v>
      </c>
      <c r="E513" s="14" t="n">
        <v>107</v>
      </c>
      <c r="F513" s="14" t="n">
        <v>20</v>
      </c>
      <c r="G513" s="14" t="n">
        <v>2.14</v>
      </c>
      <c r="H513" s="14" t="n">
        <v>3</v>
      </c>
      <c r="I513" s="14"/>
      <c r="J513" s="14" t="n">
        <v>45.1</v>
      </c>
      <c r="K513" s="14" t="n">
        <v>52.07</v>
      </c>
      <c r="L513" s="14" t="n">
        <v>2.63</v>
      </c>
      <c r="M513" s="14" t="n">
        <v>21.58</v>
      </c>
      <c r="N513" s="14" t="n">
        <v>20.49</v>
      </c>
      <c r="O513" s="14"/>
      <c r="P513" s="14" t="n">
        <v>0.38</v>
      </c>
      <c r="Q513" s="14" t="n">
        <v>0.6</v>
      </c>
      <c r="R513" s="14"/>
      <c r="S513" s="14" t="n">
        <v>97.75</v>
      </c>
      <c r="T513" s="14" t="n">
        <v>57.01</v>
      </c>
      <c r="U513" s="14" t="n">
        <v>19.65</v>
      </c>
      <c r="V513" s="14" t="n">
        <v>26.88</v>
      </c>
      <c r="W513" s="14" t="n">
        <v>201.29</v>
      </c>
      <c r="X513" s="14" t="n">
        <v>340.29</v>
      </c>
      <c r="Y513" s="14" t="n">
        <v>139</v>
      </c>
      <c r="Z513" s="14" t="n">
        <v>2.24</v>
      </c>
      <c r="AA513" s="14" t="n">
        <v>0.29</v>
      </c>
      <c r="AB513" s="14" t="n">
        <v>0</v>
      </c>
      <c r="AC513" s="14" t="n">
        <v>0.45</v>
      </c>
      <c r="AD513" s="15" t="n">
        <f aca="false">H513*E513/1000</f>
        <v>0.321</v>
      </c>
      <c r="AE513" s="15" t="n">
        <f aca="false">I513*E513/1000</f>
        <v>0</v>
      </c>
      <c r="AF513" s="16" t="n">
        <f aca="false">ROUND(S513+T513+U513+V513-W513,2)</f>
        <v>0</v>
      </c>
      <c r="AG513" s="16" t="n">
        <f aca="false">ROUND(X513-W513-Y513,2)</f>
        <v>0</v>
      </c>
    </row>
    <row r="514" customFormat="false" ht="15" hidden="false" customHeight="false" outlineLevel="0" collapsed="false">
      <c r="A514" s="13" t="s">
        <v>332</v>
      </c>
      <c r="B514" s="13" t="s">
        <v>277</v>
      </c>
      <c r="C514" s="13" t="s">
        <v>219</v>
      </c>
      <c r="D514" s="13" t="s">
        <v>333</v>
      </c>
      <c r="E514" s="14" t="n">
        <v>210</v>
      </c>
      <c r="F514" s="14" t="n">
        <v>58</v>
      </c>
      <c r="G514" s="14" t="n">
        <v>12.18</v>
      </c>
      <c r="H514" s="14" t="n">
        <v>2</v>
      </c>
      <c r="I514" s="14"/>
      <c r="J514" s="14" t="n">
        <v>48.82</v>
      </c>
      <c r="K514" s="14" t="n">
        <v>51.91</v>
      </c>
      <c r="L514" s="14" t="n">
        <v>3.44</v>
      </c>
      <c r="M514" s="14" t="n">
        <v>38.64</v>
      </c>
      <c r="N514" s="14" t="n">
        <v>5</v>
      </c>
      <c r="O514" s="14"/>
      <c r="P514" s="14" t="n">
        <v>0.38</v>
      </c>
      <c r="Q514" s="14" t="n">
        <v>0.6</v>
      </c>
      <c r="R514" s="14" t="n">
        <v>0.5</v>
      </c>
      <c r="S514" s="14" t="n">
        <v>100.47</v>
      </c>
      <c r="T514" s="14" t="n">
        <v>4.4</v>
      </c>
      <c r="U514" s="14" t="n">
        <v>15.65</v>
      </c>
      <c r="V514" s="14" t="n">
        <v>25.78</v>
      </c>
      <c r="W514" s="14" t="n">
        <v>146.3</v>
      </c>
      <c r="X514" s="14" t="n">
        <v>174.05</v>
      </c>
      <c r="Y514" s="14" t="n">
        <v>27.75</v>
      </c>
      <c r="Z514" s="14" t="n">
        <v>2.89</v>
      </c>
      <c r="AA514" s="14" t="n">
        <v>0.37</v>
      </c>
      <c r="AB514" s="14" t="n">
        <v>0</v>
      </c>
      <c r="AC514" s="14" t="n">
        <v>0.12</v>
      </c>
      <c r="AD514" s="15" t="n">
        <f aca="false">H514*E514/1000</f>
        <v>0.42</v>
      </c>
      <c r="AE514" s="15" t="n">
        <f aca="false">I514*E514/1000</f>
        <v>0</v>
      </c>
      <c r="AF514" s="16" t="n">
        <f aca="false">ROUND(S514+T514+U514+V514-W514,2)</f>
        <v>0</v>
      </c>
      <c r="AG514" s="16" t="n">
        <f aca="false">ROUND(X514-W514-Y514,2)</f>
        <v>0</v>
      </c>
    </row>
    <row r="515" customFormat="false" ht="15" hidden="false" customHeight="false" outlineLevel="0" collapsed="false">
      <c r="A515" s="13" t="s">
        <v>340</v>
      </c>
      <c r="B515" s="13" t="s">
        <v>277</v>
      </c>
      <c r="C515" s="13" t="s">
        <v>219</v>
      </c>
      <c r="D515" s="13" t="s">
        <v>341</v>
      </c>
      <c r="E515" s="14" t="n">
        <v>25.75</v>
      </c>
      <c r="F515" s="14" t="n">
        <v>199</v>
      </c>
      <c r="G515" s="14" t="n">
        <v>5.1243</v>
      </c>
      <c r="H515" s="14"/>
      <c r="I515" s="14"/>
      <c r="J515" s="14" t="n">
        <v>53.92</v>
      </c>
      <c r="K515" s="14" t="n">
        <v>51.12</v>
      </c>
      <c r="L515" s="14" t="n">
        <v>3.12</v>
      </c>
      <c r="M515" s="14" t="n">
        <v>21.92</v>
      </c>
      <c r="N515" s="14" t="n">
        <v>5</v>
      </c>
      <c r="O515" s="14"/>
      <c r="P515" s="14" t="n">
        <v>0.38</v>
      </c>
      <c r="Q515" s="14" t="n">
        <v>0.6</v>
      </c>
      <c r="R515" s="14"/>
      <c r="S515" s="14" t="n">
        <v>82.13</v>
      </c>
      <c r="T515" s="14" t="n">
        <v>0</v>
      </c>
      <c r="U515" s="14" t="n">
        <v>10.65</v>
      </c>
      <c r="V515" s="14" t="n">
        <v>18.67</v>
      </c>
      <c r="W515" s="14" t="n">
        <v>111.45</v>
      </c>
      <c r="X515" s="14" t="n">
        <v>152.89</v>
      </c>
      <c r="Y515" s="14" t="n">
        <v>41.44</v>
      </c>
      <c r="Z515" s="14" t="n">
        <v>2.12</v>
      </c>
      <c r="AA515" s="14" t="n">
        <v>0</v>
      </c>
      <c r="AB515" s="14" t="n">
        <v>0</v>
      </c>
      <c r="AC515" s="14" t="n">
        <v>0</v>
      </c>
      <c r="AD515" s="15" t="n">
        <f aca="false">H515*E515/1000</f>
        <v>0</v>
      </c>
      <c r="AE515" s="15" t="n">
        <f aca="false">I515*E515/1000</f>
        <v>0</v>
      </c>
      <c r="AF515" s="16" t="n">
        <f aca="false">ROUND(S515+T515+U515+V515-W515,2)</f>
        <v>0</v>
      </c>
      <c r="AG515" s="16" t="n">
        <f aca="false">ROUND(X515-W515-Y515,2)</f>
        <v>0</v>
      </c>
    </row>
    <row r="516" customFormat="false" ht="15" hidden="false" customHeight="false" outlineLevel="0" collapsed="false">
      <c r="A516" s="13" t="s">
        <v>336</v>
      </c>
      <c r="B516" s="13" t="s">
        <v>277</v>
      </c>
      <c r="C516" s="13" t="s">
        <v>219</v>
      </c>
      <c r="D516" s="13" t="s">
        <v>337</v>
      </c>
      <c r="E516" s="14" t="n">
        <v>8.35</v>
      </c>
      <c r="F516" s="14" t="n">
        <v>306</v>
      </c>
      <c r="G516" s="14" t="n">
        <v>2.5551</v>
      </c>
      <c r="H516" s="14" t="n">
        <v>1</v>
      </c>
      <c r="I516" s="14"/>
      <c r="J516" s="14" t="n">
        <v>44.12</v>
      </c>
      <c r="K516" s="14" t="n">
        <v>52.77</v>
      </c>
      <c r="L516" s="14" t="n">
        <v>3.81</v>
      </c>
      <c r="M516" s="14" t="n">
        <v>40.82</v>
      </c>
      <c r="N516" s="14" t="n">
        <v>5</v>
      </c>
      <c r="O516" s="14"/>
      <c r="P516" s="14" t="n">
        <v>0.38</v>
      </c>
      <c r="Q516" s="14" t="n">
        <v>0.6</v>
      </c>
      <c r="R516" s="14"/>
      <c r="S516" s="14" t="n">
        <v>103.38</v>
      </c>
      <c r="T516" s="14" t="n">
        <v>15.81</v>
      </c>
      <c r="U516" s="14" t="n">
        <v>10.65</v>
      </c>
      <c r="V516" s="14" t="n">
        <v>24.7</v>
      </c>
      <c r="W516" s="14" t="n">
        <v>154.54</v>
      </c>
      <c r="X516" s="14" t="n">
        <v>171.49</v>
      </c>
      <c r="Y516" s="14" t="n">
        <v>16.96</v>
      </c>
      <c r="Z516" s="14" t="n">
        <v>0.42</v>
      </c>
      <c r="AA516" s="14" t="n">
        <v>0.01</v>
      </c>
      <c r="AB516" s="14" t="n">
        <v>0</v>
      </c>
      <c r="AC516" s="14" t="n">
        <v>0</v>
      </c>
      <c r="AD516" s="15" t="n">
        <f aca="false">H516*E516/1000</f>
        <v>0.00835</v>
      </c>
      <c r="AE516" s="15" t="n">
        <f aca="false">I516*E516/1000</f>
        <v>0</v>
      </c>
      <c r="AF516" s="16" t="n">
        <f aca="false">ROUND(S516+T516+U516+V516-W516,2)</f>
        <v>0</v>
      </c>
      <c r="AG516" s="16" t="n">
        <f aca="false">ROUND(X516-W516-Y516,2)</f>
        <v>-0.01</v>
      </c>
    </row>
    <row r="517" customFormat="false" ht="15" hidden="false" customHeight="false" outlineLevel="0" collapsed="false">
      <c r="A517" s="13" t="s">
        <v>338</v>
      </c>
      <c r="B517" s="13" t="s">
        <v>277</v>
      </c>
      <c r="C517" s="13" t="s">
        <v>219</v>
      </c>
      <c r="D517" s="13" t="s">
        <v>339</v>
      </c>
      <c r="E517" s="14" t="n">
        <v>107</v>
      </c>
      <c r="F517" s="14" t="n">
        <v>5</v>
      </c>
      <c r="G517" s="14" t="n">
        <v>0.535</v>
      </c>
      <c r="H517" s="14"/>
      <c r="I517" s="14"/>
      <c r="J517" s="14" t="n">
        <v>45.1</v>
      </c>
      <c r="K517" s="14" t="n">
        <v>52.55</v>
      </c>
      <c r="L517" s="14" t="n">
        <v>3.73</v>
      </c>
      <c r="M517" s="14" t="n">
        <v>23.96</v>
      </c>
      <c r="N517" s="14" t="n">
        <v>20</v>
      </c>
      <c r="O517" s="14"/>
      <c r="P517" s="14" t="n">
        <v>0.38</v>
      </c>
      <c r="Q517" s="14" t="n">
        <v>0.6</v>
      </c>
      <c r="R517" s="14"/>
      <c r="S517" s="14" t="n">
        <v>101.22</v>
      </c>
      <c r="T517" s="14" t="n">
        <v>57.01</v>
      </c>
      <c r="U517" s="14" t="n">
        <v>21.65</v>
      </c>
      <c r="V517" s="14" t="n">
        <v>26.88</v>
      </c>
      <c r="W517" s="14" t="n">
        <v>206.76</v>
      </c>
      <c r="X517" s="14" t="n">
        <v>340.29</v>
      </c>
      <c r="Y517" s="14" t="n">
        <v>133.53</v>
      </c>
      <c r="Z517" s="14" t="n">
        <v>0.71</v>
      </c>
      <c r="AA517" s="14" t="n">
        <v>0</v>
      </c>
      <c r="AB517" s="14" t="n">
        <v>0</v>
      </c>
      <c r="AC517" s="14" t="n">
        <v>0</v>
      </c>
      <c r="AD517" s="15" t="n">
        <f aca="false">H517*E517/1000</f>
        <v>0</v>
      </c>
      <c r="AE517" s="15" t="n">
        <f aca="false">I517*E517/1000</f>
        <v>0</v>
      </c>
      <c r="AF517" s="16" t="n">
        <f aca="false">ROUND(S517+T517+U517+V517-W517,2)</f>
        <v>0</v>
      </c>
      <c r="AG517" s="16" t="n">
        <f aca="false">ROUND(X517-W517-Y517,2)</f>
        <v>0</v>
      </c>
    </row>
    <row r="518" customFormat="false" ht="15" hidden="false" customHeight="false" outlineLevel="0" collapsed="false">
      <c r="A518" s="13" t="s">
        <v>332</v>
      </c>
      <c r="B518" s="13" t="s">
        <v>277</v>
      </c>
      <c r="C518" s="13" t="s">
        <v>226</v>
      </c>
      <c r="D518" s="13" t="s">
        <v>333</v>
      </c>
      <c r="E518" s="14" t="n">
        <v>210</v>
      </c>
      <c r="F518" s="14" t="n">
        <v>26</v>
      </c>
      <c r="G518" s="14" t="n">
        <v>5.46</v>
      </c>
      <c r="H518" s="14"/>
      <c r="I518" s="14"/>
      <c r="J518" s="14" t="n">
        <v>48.82</v>
      </c>
      <c r="K518" s="14" t="n">
        <v>52.73</v>
      </c>
      <c r="L518" s="14" t="n">
        <v>3.44</v>
      </c>
      <c r="M518" s="14" t="n">
        <v>41.79</v>
      </c>
      <c r="N518" s="14" t="n">
        <v>5</v>
      </c>
      <c r="O518" s="14"/>
      <c r="P518" s="14" t="n">
        <v>0.38</v>
      </c>
      <c r="Q518" s="14" t="n">
        <v>0.6</v>
      </c>
      <c r="R518" s="14" t="n">
        <v>0.5</v>
      </c>
      <c r="S518" s="14" t="n">
        <v>104.44</v>
      </c>
      <c r="T518" s="14" t="n">
        <v>7.54</v>
      </c>
      <c r="U518" s="14" t="n">
        <v>15.65</v>
      </c>
      <c r="V518" s="14" t="n">
        <v>27.22</v>
      </c>
      <c r="W518" s="14" t="n">
        <v>154.85</v>
      </c>
      <c r="X518" s="14" t="n">
        <v>174.05</v>
      </c>
      <c r="Y518" s="14" t="n">
        <v>19.19</v>
      </c>
      <c r="Z518" s="14" t="n">
        <v>1.05</v>
      </c>
      <c r="AA518" s="14" t="n">
        <v>0</v>
      </c>
      <c r="AB518" s="14" t="n">
        <v>0</v>
      </c>
      <c r="AC518" s="14" t="n">
        <v>0</v>
      </c>
      <c r="AD518" s="15" t="n">
        <f aca="false">H518*E518/1000</f>
        <v>0</v>
      </c>
      <c r="AE518" s="15" t="n">
        <f aca="false">I518*E518/1000</f>
        <v>0</v>
      </c>
      <c r="AF518" s="16" t="n">
        <f aca="false">ROUND(S518+T518+U518+V518-W518,2)</f>
        <v>0</v>
      </c>
      <c r="AG518" s="16" t="n">
        <f aca="false">ROUND(X518-W518-Y518,2)</f>
        <v>0.01</v>
      </c>
    </row>
    <row r="519" customFormat="false" ht="15" hidden="false" customHeight="false" outlineLevel="0" collapsed="false">
      <c r="A519" s="13" t="s">
        <v>334</v>
      </c>
      <c r="B519" s="13" t="s">
        <v>277</v>
      </c>
      <c r="C519" s="13" t="s">
        <v>226</v>
      </c>
      <c r="D519" s="13" t="s">
        <v>335</v>
      </c>
      <c r="E519" s="14" t="n">
        <v>37</v>
      </c>
      <c r="F519" s="14" t="n">
        <v>64</v>
      </c>
      <c r="G519" s="14" t="n">
        <v>2.368</v>
      </c>
      <c r="H519" s="14"/>
      <c r="I519" s="14"/>
      <c r="J519" s="14" t="n">
        <v>53.25</v>
      </c>
      <c r="K519" s="14" t="n">
        <v>52.05</v>
      </c>
      <c r="L519" s="14" t="n">
        <v>3.16</v>
      </c>
      <c r="M519" s="14" t="n">
        <v>28.12</v>
      </c>
      <c r="N519" s="14" t="n">
        <v>5</v>
      </c>
      <c r="O519" s="14"/>
      <c r="P519" s="14" t="n">
        <v>0.38</v>
      </c>
      <c r="Q519" s="14" t="n">
        <v>0.6</v>
      </c>
      <c r="R519" s="14"/>
      <c r="S519" s="14" t="n">
        <v>89.31</v>
      </c>
      <c r="T519" s="14" t="n">
        <v>15.73</v>
      </c>
      <c r="U519" s="14" t="n">
        <v>15.65</v>
      </c>
      <c r="V519" s="14" t="n">
        <v>26.11</v>
      </c>
      <c r="W519" s="14" t="n">
        <v>146.8</v>
      </c>
      <c r="X519" s="14" t="n">
        <v>198.53</v>
      </c>
      <c r="Y519" s="14" t="n">
        <v>51.73</v>
      </c>
      <c r="Z519" s="14" t="n">
        <v>1.22</v>
      </c>
      <c r="AA519" s="14" t="n">
        <v>0</v>
      </c>
      <c r="AB519" s="14" t="n">
        <v>0</v>
      </c>
      <c r="AC519" s="14" t="n">
        <v>0</v>
      </c>
      <c r="AD519" s="15" t="n">
        <f aca="false">H519*E519/1000</f>
        <v>0</v>
      </c>
      <c r="AE519" s="15" t="n">
        <f aca="false">I519*E519/1000</f>
        <v>0</v>
      </c>
      <c r="AF519" s="16" t="n">
        <f aca="false">ROUND(S519+T519+U519+V519-W519,2)</f>
        <v>0</v>
      </c>
      <c r="AG519" s="16" t="n">
        <f aca="false">ROUND(X519-W519-Y519,2)</f>
        <v>0</v>
      </c>
    </row>
    <row r="520" customFormat="false" ht="15" hidden="false" customHeight="false" outlineLevel="0" collapsed="false">
      <c r="A520" s="13" t="s">
        <v>340</v>
      </c>
      <c r="B520" s="13" t="s">
        <v>277</v>
      </c>
      <c r="C520" s="13" t="s">
        <v>226</v>
      </c>
      <c r="D520" s="13" t="s">
        <v>341</v>
      </c>
      <c r="E520" s="14" t="n">
        <v>25.75</v>
      </c>
      <c r="F520" s="14" t="n">
        <v>288</v>
      </c>
      <c r="G520" s="14" t="n">
        <v>7.416</v>
      </c>
      <c r="H520" s="14" t="n">
        <v>9</v>
      </c>
      <c r="I520" s="14"/>
      <c r="J520" s="14" t="n">
        <v>53.92</v>
      </c>
      <c r="K520" s="14" t="n">
        <v>52.19</v>
      </c>
      <c r="L520" s="14" t="n">
        <v>3.12</v>
      </c>
      <c r="M520" s="14" t="n">
        <v>23.66</v>
      </c>
      <c r="N520" s="14" t="n">
        <v>5</v>
      </c>
      <c r="O520" s="14"/>
      <c r="P520" s="14" t="n">
        <v>0.38</v>
      </c>
      <c r="Q520" s="14" t="n">
        <v>0.6</v>
      </c>
      <c r="R520" s="14"/>
      <c r="S520" s="14" t="n">
        <v>84.94</v>
      </c>
      <c r="T520" s="14" t="n">
        <v>0</v>
      </c>
      <c r="U520" s="14" t="n">
        <v>10.65</v>
      </c>
      <c r="V520" s="14" t="n">
        <v>19.31</v>
      </c>
      <c r="W520" s="14" t="n">
        <v>114.91</v>
      </c>
      <c r="X520" s="14" t="n">
        <v>152.89</v>
      </c>
      <c r="Y520" s="14" t="n">
        <v>37.99</v>
      </c>
      <c r="Z520" s="14" t="n">
        <v>2.58</v>
      </c>
      <c r="AA520" s="14" t="n">
        <v>0.15</v>
      </c>
      <c r="AB520" s="14" t="n">
        <v>0</v>
      </c>
      <c r="AC520" s="14" t="n">
        <v>0.09</v>
      </c>
      <c r="AD520" s="15" t="n">
        <f aca="false">H520*E520/1000</f>
        <v>0.23175</v>
      </c>
      <c r="AE520" s="15" t="n">
        <f aca="false">I520*E520/1000</f>
        <v>0</v>
      </c>
      <c r="AF520" s="16" t="n">
        <f aca="false">ROUND(S520+T520+U520+V520-W520,2)</f>
        <v>-0.01</v>
      </c>
      <c r="AG520" s="16" t="n">
        <f aca="false">ROUND(X520-W520-Y520,2)</f>
        <v>-0.01</v>
      </c>
    </row>
    <row r="521" customFormat="false" ht="15" hidden="false" customHeight="false" outlineLevel="0" collapsed="false">
      <c r="A521" s="13" t="s">
        <v>336</v>
      </c>
      <c r="B521" s="13" t="s">
        <v>277</v>
      </c>
      <c r="C521" s="13" t="s">
        <v>226</v>
      </c>
      <c r="D521" s="13" t="s">
        <v>337</v>
      </c>
      <c r="E521" s="14" t="n">
        <v>8.35</v>
      </c>
      <c r="F521" s="14" t="n">
        <v>271</v>
      </c>
      <c r="G521" s="14" t="n">
        <v>2.2629</v>
      </c>
      <c r="H521" s="14" t="n">
        <v>4</v>
      </c>
      <c r="I521" s="14"/>
      <c r="J521" s="14" t="n">
        <v>44.12</v>
      </c>
      <c r="K521" s="14" t="n">
        <v>53.61</v>
      </c>
      <c r="L521" s="14" t="n">
        <v>3.81</v>
      </c>
      <c r="M521" s="14" t="n">
        <v>44.22</v>
      </c>
      <c r="N521" s="14" t="n">
        <v>5</v>
      </c>
      <c r="O521" s="14"/>
      <c r="P521" s="14" t="n">
        <v>0.38</v>
      </c>
      <c r="Q521" s="14" t="n">
        <v>0.6</v>
      </c>
      <c r="R521" s="14"/>
      <c r="S521" s="14" t="n">
        <v>107.62</v>
      </c>
      <c r="T521" s="14" t="n">
        <v>15.81</v>
      </c>
      <c r="U521" s="14" t="n">
        <v>10.65</v>
      </c>
      <c r="V521" s="14" t="n">
        <v>28.65</v>
      </c>
      <c r="W521" s="14" t="n">
        <v>162.73</v>
      </c>
      <c r="X521" s="14" t="n">
        <v>171.49</v>
      </c>
      <c r="Y521" s="14" t="n">
        <v>8.77</v>
      </c>
      <c r="Z521" s="14" t="n">
        <v>0.16</v>
      </c>
      <c r="AA521" s="14" t="n">
        <v>0.03</v>
      </c>
      <c r="AB521" s="14" t="n">
        <v>0</v>
      </c>
      <c r="AC521" s="14" t="n">
        <v>0</v>
      </c>
      <c r="AD521" s="15" t="n">
        <f aca="false">H521*E521/1000</f>
        <v>0.0334</v>
      </c>
      <c r="AE521" s="15" t="n">
        <f aca="false">I521*E521/1000</f>
        <v>0</v>
      </c>
      <c r="AF521" s="16" t="n">
        <f aca="false">ROUND(S521+T521+U521+V521-W521,2)</f>
        <v>0</v>
      </c>
      <c r="AG521" s="16" t="n">
        <f aca="false">ROUND(X521-W521-Y521,2)</f>
        <v>-0.01</v>
      </c>
    </row>
    <row r="522" customFormat="false" ht="15" hidden="false" customHeight="false" outlineLevel="0" collapsed="false">
      <c r="A522" s="13" t="s">
        <v>338</v>
      </c>
      <c r="B522" s="13" t="s">
        <v>277</v>
      </c>
      <c r="C522" s="13" t="s">
        <v>226</v>
      </c>
      <c r="D522" s="13" t="s">
        <v>339</v>
      </c>
      <c r="E522" s="14" t="n">
        <v>107</v>
      </c>
      <c r="F522" s="14" t="n">
        <v>10</v>
      </c>
      <c r="G522" s="14" t="n">
        <v>1.07</v>
      </c>
      <c r="H522" s="14"/>
      <c r="I522" s="14"/>
      <c r="J522" s="14" t="n">
        <v>45.1</v>
      </c>
      <c r="K522" s="14" t="n">
        <v>53.65</v>
      </c>
      <c r="L522" s="14" t="n">
        <v>3.73</v>
      </c>
      <c r="M522" s="14" t="n">
        <v>25.64</v>
      </c>
      <c r="N522" s="14" t="n">
        <v>20</v>
      </c>
      <c r="O522" s="14"/>
      <c r="P522" s="14" t="n">
        <v>0.38</v>
      </c>
      <c r="Q522" s="14" t="n">
        <v>0.6</v>
      </c>
      <c r="R522" s="14"/>
      <c r="S522" s="14" t="n">
        <v>103.99</v>
      </c>
      <c r="T522" s="14" t="n">
        <v>42.9</v>
      </c>
      <c r="U522" s="14" t="n">
        <v>21.65</v>
      </c>
      <c r="V522" s="14" t="n">
        <v>28.33</v>
      </c>
      <c r="W522" s="14" t="n">
        <v>196.87</v>
      </c>
      <c r="X522" s="14" t="n">
        <v>294.61</v>
      </c>
      <c r="Y522" s="14" t="n">
        <v>97.74</v>
      </c>
      <c r="Z522" s="14" t="n">
        <v>1.05</v>
      </c>
      <c r="AA522" s="14" t="n">
        <v>0</v>
      </c>
      <c r="AB522" s="14" t="n">
        <v>0</v>
      </c>
      <c r="AC522" s="14" t="n">
        <v>0</v>
      </c>
      <c r="AD522" s="15" t="n">
        <f aca="false">H522*E522/1000</f>
        <v>0</v>
      </c>
      <c r="AE522" s="15" t="n">
        <f aca="false">I522*E522/1000</f>
        <v>0</v>
      </c>
      <c r="AF522" s="16" t="n">
        <f aca="false">ROUND(S522+T522+U522+V522-W522,2)</f>
        <v>0</v>
      </c>
      <c r="AG522" s="16" t="n">
        <f aca="false">ROUND(X522-W522-Y522,2)</f>
        <v>0</v>
      </c>
    </row>
    <row r="523" customFormat="false" ht="15" hidden="false" customHeight="false" outlineLevel="0" collapsed="false">
      <c r="A523" s="13" t="s">
        <v>334</v>
      </c>
      <c r="B523" s="13" t="s">
        <v>277</v>
      </c>
      <c r="C523" s="13" t="s">
        <v>259</v>
      </c>
      <c r="D523" s="13" t="s">
        <v>335</v>
      </c>
      <c r="E523" s="14" t="n">
        <v>37</v>
      </c>
      <c r="F523" s="14" t="n">
        <v>640</v>
      </c>
      <c r="G523" s="14" t="n">
        <v>23.68</v>
      </c>
      <c r="H523" s="14" t="n">
        <v>20</v>
      </c>
      <c r="I523" s="14"/>
      <c r="J523" s="14" t="n">
        <v>53.25</v>
      </c>
      <c r="K523" s="14" t="n">
        <v>52.31</v>
      </c>
      <c r="L523" s="14" t="n">
        <v>3.16</v>
      </c>
      <c r="M523" s="14" t="n">
        <v>25.52</v>
      </c>
      <c r="N523" s="14" t="n">
        <v>5</v>
      </c>
      <c r="O523" s="14"/>
      <c r="P523" s="14" t="n">
        <v>0.38</v>
      </c>
      <c r="Q523" s="14" t="n">
        <v>0.6</v>
      </c>
      <c r="R523" s="14"/>
      <c r="S523" s="14" t="n">
        <v>86.97</v>
      </c>
      <c r="T523" s="14" t="n">
        <v>15.73</v>
      </c>
      <c r="U523" s="14" t="n">
        <v>15</v>
      </c>
      <c r="V523" s="14" t="n">
        <v>24.52</v>
      </c>
      <c r="W523" s="14" t="n">
        <v>142.23</v>
      </c>
      <c r="X523" s="14" t="n">
        <v>198.53</v>
      </c>
      <c r="Y523" s="14" t="n">
        <v>56.3</v>
      </c>
      <c r="Z523" s="14" t="n">
        <v>12.38</v>
      </c>
      <c r="AA523" s="14" t="n">
        <v>0.54</v>
      </c>
      <c r="AB523" s="14" t="n">
        <v>0</v>
      </c>
      <c r="AC523" s="14" t="n">
        <v>0.42</v>
      </c>
      <c r="AD523" s="15" t="n">
        <f aca="false">H523*E523/1000</f>
        <v>0.74</v>
      </c>
      <c r="AE523" s="15" t="n">
        <f aca="false">I523*E523/1000</f>
        <v>0</v>
      </c>
      <c r="AF523" s="16" t="n">
        <f aca="false">ROUND(S523+T523+U523+V523-W523,2)</f>
        <v>-0.01</v>
      </c>
      <c r="AG523" s="16" t="n">
        <f aca="false">ROUND(X523-W523-Y523,2)</f>
        <v>0</v>
      </c>
    </row>
    <row r="524" customFormat="false" ht="15" hidden="false" customHeight="false" outlineLevel="0" collapsed="false">
      <c r="A524" s="13" t="s">
        <v>340</v>
      </c>
      <c r="B524" s="13" t="s">
        <v>277</v>
      </c>
      <c r="C524" s="13" t="s">
        <v>259</v>
      </c>
      <c r="D524" s="13" t="s">
        <v>341</v>
      </c>
      <c r="E524" s="14" t="n">
        <v>25.75</v>
      </c>
      <c r="F524" s="14" t="n">
        <v>343</v>
      </c>
      <c r="G524" s="14" t="n">
        <v>8.8323</v>
      </c>
      <c r="H524" s="14" t="n">
        <v>10</v>
      </c>
      <c r="I524" s="14"/>
      <c r="J524" s="14" t="n">
        <v>53.92</v>
      </c>
      <c r="K524" s="14" t="n">
        <v>52.38</v>
      </c>
      <c r="L524" s="14" t="n">
        <v>3.12</v>
      </c>
      <c r="M524" s="14" t="n">
        <v>21.3</v>
      </c>
      <c r="N524" s="14" t="n">
        <v>5</v>
      </c>
      <c r="O524" s="14"/>
      <c r="P524" s="14" t="n">
        <v>0.38</v>
      </c>
      <c r="Q524" s="14" t="n">
        <v>0.6</v>
      </c>
      <c r="R524" s="14"/>
      <c r="S524" s="14" t="n">
        <v>82.78</v>
      </c>
      <c r="T524" s="14" t="n">
        <v>0</v>
      </c>
      <c r="U524" s="14" t="n">
        <v>10.65</v>
      </c>
      <c r="V524" s="14" t="n">
        <v>24.41</v>
      </c>
      <c r="W524" s="14" t="n">
        <v>117.84</v>
      </c>
      <c r="X524" s="14" t="n">
        <v>152.89</v>
      </c>
      <c r="Y524" s="14" t="n">
        <v>35.06</v>
      </c>
      <c r="Z524" s="14" t="n">
        <v>2.84</v>
      </c>
      <c r="AA524" s="14" t="n">
        <v>0.17</v>
      </c>
      <c r="AB524" s="14" t="n">
        <v>0</v>
      </c>
      <c r="AC524" s="14" t="n">
        <v>0.09</v>
      </c>
      <c r="AD524" s="15" t="n">
        <f aca="false">H524*E524/1000</f>
        <v>0.2575</v>
      </c>
      <c r="AE524" s="15" t="n">
        <f aca="false">I524*E524/1000</f>
        <v>0</v>
      </c>
      <c r="AF524" s="16" t="n">
        <f aca="false">ROUND(S524+T524+U524+V524-W524,2)</f>
        <v>0</v>
      </c>
      <c r="AG524" s="16" t="n">
        <f aca="false">ROUND(X524-W524-Y524,2)</f>
        <v>-0.01</v>
      </c>
    </row>
    <row r="525" customFormat="false" ht="15" hidden="false" customHeight="false" outlineLevel="0" collapsed="false">
      <c r="A525" s="13" t="s">
        <v>336</v>
      </c>
      <c r="B525" s="13" t="s">
        <v>277</v>
      </c>
      <c r="C525" s="13" t="s">
        <v>259</v>
      </c>
      <c r="D525" s="13" t="s">
        <v>337</v>
      </c>
      <c r="E525" s="14" t="n">
        <v>8.35</v>
      </c>
      <c r="F525" s="14" t="n">
        <v>296</v>
      </c>
      <c r="G525" s="14" t="n">
        <v>2.4716</v>
      </c>
      <c r="H525" s="14" t="n">
        <v>48</v>
      </c>
      <c r="I525" s="14"/>
      <c r="J525" s="14" t="n">
        <v>44.12</v>
      </c>
      <c r="K525" s="14" t="n">
        <v>53.88</v>
      </c>
      <c r="L525" s="14" t="n">
        <v>3.81</v>
      </c>
      <c r="M525" s="14" t="n">
        <v>37.28</v>
      </c>
      <c r="N525" s="14" t="n">
        <v>5</v>
      </c>
      <c r="O525" s="14"/>
      <c r="P525" s="14" t="n">
        <v>0.38</v>
      </c>
      <c r="Q525" s="14" t="n">
        <v>0.6</v>
      </c>
      <c r="R525" s="14"/>
      <c r="S525" s="14" t="n">
        <v>100.95</v>
      </c>
      <c r="T525" s="14" t="n">
        <v>15.81</v>
      </c>
      <c r="U525" s="14" t="n">
        <v>10.65</v>
      </c>
      <c r="V525" s="14" t="n">
        <v>26.56</v>
      </c>
      <c r="W525" s="14" t="n">
        <v>153.97</v>
      </c>
      <c r="X525" s="14" t="n">
        <v>171.49</v>
      </c>
      <c r="Y525" s="14" t="n">
        <v>17.53</v>
      </c>
      <c r="Z525" s="14" t="n">
        <v>0.02</v>
      </c>
      <c r="AA525" s="14" t="n">
        <v>0.34</v>
      </c>
      <c r="AB525" s="14" t="n">
        <v>0</v>
      </c>
      <c r="AC525" s="14" t="n">
        <v>0.07</v>
      </c>
      <c r="AD525" s="15" t="n">
        <f aca="false">H525*E525/1000</f>
        <v>0.4008</v>
      </c>
      <c r="AE525" s="15" t="n">
        <f aca="false">I525*E525/1000</f>
        <v>0</v>
      </c>
      <c r="AF525" s="16" t="n">
        <f aca="false">ROUND(S525+T525+U525+V525-W525,2)</f>
        <v>0</v>
      </c>
      <c r="AG525" s="16" t="n">
        <f aca="false">ROUND(X525-W525-Y525,2)</f>
        <v>-0.01</v>
      </c>
    </row>
    <row r="526" customFormat="false" ht="15" hidden="false" customHeight="false" outlineLevel="0" collapsed="false">
      <c r="A526" s="13" t="s">
        <v>338</v>
      </c>
      <c r="B526" s="13" t="s">
        <v>277</v>
      </c>
      <c r="C526" s="13" t="s">
        <v>259</v>
      </c>
      <c r="D526" s="13" t="s">
        <v>339</v>
      </c>
      <c r="E526" s="14" t="n">
        <v>107</v>
      </c>
      <c r="F526" s="14" t="n">
        <v>10</v>
      </c>
      <c r="G526" s="14" t="n">
        <v>1.07</v>
      </c>
      <c r="H526" s="14"/>
      <c r="I526" s="14"/>
      <c r="J526" s="14" t="n">
        <v>45.1</v>
      </c>
      <c r="K526" s="14" t="n">
        <v>53.85</v>
      </c>
      <c r="L526" s="14" t="n">
        <v>3.73</v>
      </c>
      <c r="M526" s="14" t="n">
        <v>22.24</v>
      </c>
      <c r="N526" s="14" t="n">
        <v>20</v>
      </c>
      <c r="O526" s="14"/>
      <c r="P526" s="14" t="n">
        <v>0.38</v>
      </c>
      <c r="Q526" s="14" t="n">
        <v>0.6</v>
      </c>
      <c r="R526" s="14"/>
      <c r="S526" s="14" t="n">
        <v>100.8</v>
      </c>
      <c r="T526" s="14" t="n">
        <v>42.9</v>
      </c>
      <c r="U526" s="14" t="n">
        <v>25</v>
      </c>
      <c r="V526" s="14" t="n">
        <v>26.02</v>
      </c>
      <c r="W526" s="14" t="n">
        <v>194.71</v>
      </c>
      <c r="X526" s="14" t="n">
        <v>294.61</v>
      </c>
      <c r="Y526" s="14" t="n">
        <v>99.9</v>
      </c>
      <c r="Z526" s="14" t="n">
        <v>1.07</v>
      </c>
      <c r="AA526" s="14" t="n">
        <v>0</v>
      </c>
      <c r="AB526" s="14" t="n">
        <v>0</v>
      </c>
      <c r="AC526" s="14" t="n">
        <v>0</v>
      </c>
      <c r="AD526" s="15" t="n">
        <f aca="false">H526*E526/1000</f>
        <v>0</v>
      </c>
      <c r="AE526" s="15" t="n">
        <f aca="false">I526*E526/1000</f>
        <v>0</v>
      </c>
      <c r="AF526" s="16" t="n">
        <f aca="false">ROUND(S526+T526+U526+V526-W526,2)</f>
        <v>0.01</v>
      </c>
      <c r="AG526" s="16" t="n">
        <f aca="false">ROUND(X526-W526-Y526,2)</f>
        <v>0</v>
      </c>
    </row>
    <row r="527" customFormat="false" ht="15" hidden="false" customHeight="false" outlineLevel="0" collapsed="false">
      <c r="A527" s="13" t="s">
        <v>332</v>
      </c>
      <c r="B527" s="13" t="s">
        <v>277</v>
      </c>
      <c r="C527" s="13" t="s">
        <v>263</v>
      </c>
      <c r="D527" s="13" t="s">
        <v>333</v>
      </c>
      <c r="E527" s="14" t="n">
        <v>210</v>
      </c>
      <c r="F527" s="14" t="n">
        <v>89</v>
      </c>
      <c r="G527" s="14" t="n">
        <v>18.69</v>
      </c>
      <c r="H527" s="14" t="n">
        <v>1</v>
      </c>
      <c r="I527" s="14"/>
      <c r="J527" s="14" t="n">
        <v>48.82</v>
      </c>
      <c r="K527" s="14" t="n">
        <v>54.72</v>
      </c>
      <c r="L527" s="14" t="n">
        <v>3.44</v>
      </c>
      <c r="M527" s="14" t="n">
        <v>37.44</v>
      </c>
      <c r="N527" s="14" t="n">
        <v>5</v>
      </c>
      <c r="O527" s="14"/>
      <c r="P527" s="14" t="n">
        <v>0.38</v>
      </c>
      <c r="Q527" s="14" t="n">
        <v>0.6</v>
      </c>
      <c r="R527" s="14" t="n">
        <v>0.5</v>
      </c>
      <c r="S527" s="14" t="n">
        <v>102.08</v>
      </c>
      <c r="T527" s="14" t="n">
        <v>7.54</v>
      </c>
      <c r="U527" s="14" t="n">
        <v>15</v>
      </c>
      <c r="V527" s="14" t="n">
        <v>27.84</v>
      </c>
      <c r="W527" s="14" t="n">
        <v>152.46</v>
      </c>
      <c r="X527" s="14" t="n">
        <v>174.05</v>
      </c>
      <c r="Y527" s="14" t="n">
        <v>21.59</v>
      </c>
      <c r="Z527" s="14" t="n">
        <v>3.81</v>
      </c>
      <c r="AA527" s="14" t="n">
        <v>0.18</v>
      </c>
      <c r="AB527" s="14" t="n">
        <v>0</v>
      </c>
      <c r="AC527" s="14" t="n">
        <v>0.05</v>
      </c>
      <c r="AD527" s="15" t="n">
        <f aca="false">H527*E527/1000</f>
        <v>0.21</v>
      </c>
      <c r="AE527" s="15" t="n">
        <f aca="false">I527*E527/1000</f>
        <v>0</v>
      </c>
      <c r="AF527" s="16" t="n">
        <f aca="false">ROUND(S527+T527+U527+V527-W527,2)</f>
        <v>0</v>
      </c>
      <c r="AG527" s="16" t="n">
        <f aca="false">ROUND(X527-W527-Y527,2)</f>
        <v>0</v>
      </c>
    </row>
    <row r="528" customFormat="false" ht="15" hidden="false" customHeight="false" outlineLevel="0" collapsed="false">
      <c r="A528" s="13" t="s">
        <v>334</v>
      </c>
      <c r="B528" s="13" t="s">
        <v>277</v>
      </c>
      <c r="C528" s="13" t="s">
        <v>263</v>
      </c>
      <c r="D528" s="13" t="s">
        <v>335</v>
      </c>
      <c r="E528" s="14" t="n">
        <v>37</v>
      </c>
      <c r="F528" s="14" t="n">
        <v>528</v>
      </c>
      <c r="G528" s="14" t="n">
        <v>19.536</v>
      </c>
      <c r="H528" s="14" t="n">
        <v>11</v>
      </c>
      <c r="I528" s="14"/>
      <c r="J528" s="14" t="n">
        <v>53.25</v>
      </c>
      <c r="K528" s="14" t="n">
        <v>54.01</v>
      </c>
      <c r="L528" s="14" t="n">
        <v>3.16</v>
      </c>
      <c r="M528" s="14" t="n">
        <v>25.52</v>
      </c>
      <c r="N528" s="14" t="n">
        <v>5</v>
      </c>
      <c r="O528" s="14"/>
      <c r="P528" s="14" t="n">
        <v>0.38</v>
      </c>
      <c r="Q528" s="14" t="n">
        <v>0.6</v>
      </c>
      <c r="R528" s="14"/>
      <c r="S528" s="14" t="n">
        <v>88.67</v>
      </c>
      <c r="T528" s="14" t="n">
        <v>15.73</v>
      </c>
      <c r="U528" s="14" t="n">
        <v>15</v>
      </c>
      <c r="V528" s="14" t="n">
        <v>25.55</v>
      </c>
      <c r="W528" s="14" t="n">
        <v>144.94</v>
      </c>
      <c r="X528" s="14" t="n">
        <v>198.53</v>
      </c>
      <c r="Y528" s="14" t="n">
        <v>53.58</v>
      </c>
      <c r="Z528" s="14" t="n">
        <v>9.95</v>
      </c>
      <c r="AA528" s="14" t="n">
        <v>0.3</v>
      </c>
      <c r="AB528" s="14" t="n">
        <v>0</v>
      </c>
      <c r="AC528" s="14" t="n">
        <v>0.22</v>
      </c>
      <c r="AD528" s="15" t="n">
        <f aca="false">H528*E528/1000</f>
        <v>0.407</v>
      </c>
      <c r="AE528" s="15" t="n">
        <f aca="false">I528*E528/1000</f>
        <v>0</v>
      </c>
      <c r="AF528" s="16" t="n">
        <f aca="false">ROUND(S528+T528+U528+V528-W528,2)</f>
        <v>0.01</v>
      </c>
      <c r="AG528" s="16" t="n">
        <f aca="false">ROUND(X528-W528-Y528,2)</f>
        <v>0.01</v>
      </c>
    </row>
    <row r="529" customFormat="false" ht="15" hidden="false" customHeight="false" outlineLevel="0" collapsed="false">
      <c r="A529" s="13" t="s">
        <v>336</v>
      </c>
      <c r="B529" s="13" t="s">
        <v>277</v>
      </c>
      <c r="C529" s="13" t="s">
        <v>263</v>
      </c>
      <c r="D529" s="13" t="s">
        <v>337</v>
      </c>
      <c r="E529" s="14" t="n">
        <v>8.35</v>
      </c>
      <c r="F529" s="14" t="n">
        <v>920</v>
      </c>
      <c r="G529" s="14" t="n">
        <v>7.682</v>
      </c>
      <c r="H529" s="14" t="n">
        <v>9</v>
      </c>
      <c r="I529" s="14"/>
      <c r="J529" s="14" t="n">
        <v>44.12</v>
      </c>
      <c r="K529" s="14" t="n">
        <v>55.62</v>
      </c>
      <c r="L529" s="14" t="n">
        <v>3.81</v>
      </c>
      <c r="M529" s="14" t="n">
        <v>37.28</v>
      </c>
      <c r="N529" s="14" t="n">
        <v>5</v>
      </c>
      <c r="O529" s="14"/>
      <c r="P529" s="14" t="n">
        <v>0.38</v>
      </c>
      <c r="Q529" s="14" t="n">
        <v>0.6</v>
      </c>
      <c r="R529" s="14"/>
      <c r="S529" s="14" t="n">
        <v>102.7</v>
      </c>
      <c r="T529" s="14" t="n">
        <v>15.81</v>
      </c>
      <c r="U529" s="14" t="n">
        <v>10.65</v>
      </c>
      <c r="V529" s="14" t="n">
        <v>29.03</v>
      </c>
      <c r="W529" s="14" t="n">
        <v>158.18</v>
      </c>
      <c r="X529" s="14" t="n">
        <v>171.49</v>
      </c>
      <c r="Y529" s="14" t="n">
        <v>13.31</v>
      </c>
      <c r="Z529" s="14" t="n">
        <v>0.95</v>
      </c>
      <c r="AA529" s="14" t="n">
        <v>0.07</v>
      </c>
      <c r="AB529" s="14" t="n">
        <v>0</v>
      </c>
      <c r="AC529" s="14" t="n">
        <v>0.01</v>
      </c>
      <c r="AD529" s="15" t="n">
        <f aca="false">H529*E529/1000</f>
        <v>0.07515</v>
      </c>
      <c r="AE529" s="15" t="n">
        <f aca="false">I529*E529/1000</f>
        <v>0</v>
      </c>
      <c r="AF529" s="16" t="n">
        <f aca="false">ROUND(S529+T529+U529+V529-W529,2)</f>
        <v>0.01</v>
      </c>
      <c r="AG529" s="16" t="n">
        <f aca="false">ROUND(X529-W529-Y529,2)</f>
        <v>0</v>
      </c>
    </row>
    <row r="530" customFormat="false" ht="15" hidden="false" customHeight="false" outlineLevel="0" collapsed="false">
      <c r="A530" s="13" t="s">
        <v>340</v>
      </c>
      <c r="B530" s="13" t="s">
        <v>277</v>
      </c>
      <c r="C530" s="13" t="s">
        <v>263</v>
      </c>
      <c r="D530" s="13" t="s">
        <v>341</v>
      </c>
      <c r="E530" s="14" t="n">
        <v>25.75</v>
      </c>
      <c r="F530" s="14" t="n">
        <v>164</v>
      </c>
      <c r="G530" s="14" t="n">
        <v>4.223</v>
      </c>
      <c r="H530" s="14" t="n">
        <v>6</v>
      </c>
      <c r="I530" s="14"/>
      <c r="J530" s="14" t="n">
        <v>53.92</v>
      </c>
      <c r="K530" s="14" t="n">
        <v>51.99</v>
      </c>
      <c r="L530" s="14" t="n">
        <v>3.12</v>
      </c>
      <c r="M530" s="14" t="n">
        <v>21.3</v>
      </c>
      <c r="N530" s="14" t="n">
        <v>5</v>
      </c>
      <c r="O530" s="14"/>
      <c r="P530" s="14" t="n">
        <v>0.38</v>
      </c>
      <c r="Q530" s="14" t="n">
        <v>0.6</v>
      </c>
      <c r="R530" s="14"/>
      <c r="S530" s="14" t="n">
        <v>82.38</v>
      </c>
      <c r="T530" s="14" t="n">
        <v>0</v>
      </c>
      <c r="U530" s="14" t="n">
        <v>10.65</v>
      </c>
      <c r="V530" s="14" t="n">
        <v>21.38</v>
      </c>
      <c r="W530" s="14" t="n">
        <v>114.42</v>
      </c>
      <c r="X530" s="14" t="n">
        <v>152.89</v>
      </c>
      <c r="Y530" s="14" t="n">
        <v>38.48</v>
      </c>
      <c r="Z530" s="14" t="n">
        <v>1.47</v>
      </c>
      <c r="AA530" s="14" t="n">
        <v>0.1</v>
      </c>
      <c r="AB530" s="14" t="n">
        <v>0</v>
      </c>
      <c r="AC530" s="14" t="n">
        <v>0.06</v>
      </c>
      <c r="AD530" s="15" t="n">
        <f aca="false">H530*E530/1000</f>
        <v>0.1545</v>
      </c>
      <c r="AE530" s="15" t="n">
        <f aca="false">I530*E530/1000</f>
        <v>0</v>
      </c>
      <c r="AF530" s="16" t="n">
        <f aca="false">ROUND(S530+T530+U530+V530-W530,2)</f>
        <v>-0.01</v>
      </c>
      <c r="AG530" s="16" t="n">
        <f aca="false">ROUND(X530-W530-Y530,2)</f>
        <v>-0.01</v>
      </c>
    </row>
    <row r="531" customFormat="false" ht="15" hidden="false" customHeight="false" outlineLevel="0" collapsed="false">
      <c r="A531" s="13" t="s">
        <v>332</v>
      </c>
      <c r="B531" s="13" t="s">
        <v>277</v>
      </c>
      <c r="C531" s="13" t="s">
        <v>229</v>
      </c>
      <c r="D531" s="13" t="s">
        <v>333</v>
      </c>
      <c r="E531" s="14" t="n">
        <v>210</v>
      </c>
      <c r="F531" s="14" t="n">
        <v>88</v>
      </c>
      <c r="G531" s="14" t="n">
        <v>18.48</v>
      </c>
      <c r="H531" s="14" t="n">
        <v>1</v>
      </c>
      <c r="I531" s="14"/>
      <c r="J531" s="14" t="n">
        <v>48.82</v>
      </c>
      <c r="K531" s="14" t="n">
        <v>52.89</v>
      </c>
      <c r="L531" s="14" t="n">
        <v>3.44</v>
      </c>
      <c r="M531" s="14" t="n">
        <v>37.44</v>
      </c>
      <c r="N531" s="14" t="n">
        <v>5</v>
      </c>
      <c r="O531" s="14"/>
      <c r="P531" s="14" t="n">
        <v>0.38</v>
      </c>
      <c r="Q531" s="14" t="n">
        <v>0.6</v>
      </c>
      <c r="R531" s="14" t="n">
        <v>0.5</v>
      </c>
      <c r="S531" s="14" t="n">
        <v>100.25</v>
      </c>
      <c r="T531" s="14" t="n">
        <v>7.54</v>
      </c>
      <c r="U531" s="14" t="n">
        <v>15</v>
      </c>
      <c r="V531" s="14" t="n">
        <v>27.84</v>
      </c>
      <c r="W531" s="14" t="n">
        <v>150.63</v>
      </c>
      <c r="X531" s="14" t="n">
        <v>174.05</v>
      </c>
      <c r="Y531" s="14" t="n">
        <v>23.41</v>
      </c>
      <c r="Z531" s="14" t="n">
        <v>4.09</v>
      </c>
      <c r="AA531" s="14" t="n">
        <v>0.18</v>
      </c>
      <c r="AB531" s="14" t="n">
        <v>0</v>
      </c>
      <c r="AC531" s="14" t="n">
        <v>0.05</v>
      </c>
      <c r="AD531" s="15" t="n">
        <f aca="false">H531*E531/1000</f>
        <v>0.21</v>
      </c>
      <c r="AE531" s="15" t="n">
        <f aca="false">I531*E531/1000</f>
        <v>0</v>
      </c>
      <c r="AF531" s="16" t="n">
        <f aca="false">ROUND(S531+T531+U531+V531-W531,2)</f>
        <v>0</v>
      </c>
      <c r="AG531" s="16" t="n">
        <f aca="false">ROUND(X531-W531-Y531,2)</f>
        <v>0.01</v>
      </c>
    </row>
    <row r="532" customFormat="false" ht="15" hidden="false" customHeight="false" outlineLevel="0" collapsed="false">
      <c r="A532" s="13" t="s">
        <v>334</v>
      </c>
      <c r="B532" s="13" t="s">
        <v>277</v>
      </c>
      <c r="C532" s="13" t="s">
        <v>229</v>
      </c>
      <c r="D532" s="13" t="s">
        <v>335</v>
      </c>
      <c r="E532" s="14" t="n">
        <v>37</v>
      </c>
      <c r="F532" s="14" t="n">
        <v>764</v>
      </c>
      <c r="G532" s="14" t="n">
        <v>28.268</v>
      </c>
      <c r="H532" s="14"/>
      <c r="I532" s="14"/>
      <c r="J532" s="14" t="n">
        <v>53.25</v>
      </c>
      <c r="K532" s="14" t="n">
        <v>52.21</v>
      </c>
      <c r="L532" s="14" t="n">
        <v>3.16</v>
      </c>
      <c r="M532" s="14" t="n">
        <v>25.52</v>
      </c>
      <c r="N532" s="14" t="n">
        <v>5</v>
      </c>
      <c r="O532" s="14"/>
      <c r="P532" s="14" t="n">
        <v>0.38</v>
      </c>
      <c r="Q532" s="14" t="n">
        <v>0.6</v>
      </c>
      <c r="R532" s="14"/>
      <c r="S532" s="14" t="n">
        <v>86.87</v>
      </c>
      <c r="T532" s="14" t="n">
        <v>15.73</v>
      </c>
      <c r="U532" s="14" t="n">
        <v>15</v>
      </c>
      <c r="V532" s="14" t="n">
        <v>25.55</v>
      </c>
      <c r="W532" s="14" t="n">
        <v>143.14</v>
      </c>
      <c r="X532" s="14" t="n">
        <v>198.53</v>
      </c>
      <c r="Y532" s="14" t="n">
        <v>55.38</v>
      </c>
      <c r="Z532" s="14" t="n">
        <v>15.66</v>
      </c>
      <c r="AA532" s="14" t="n">
        <v>0</v>
      </c>
      <c r="AB532" s="14" t="n">
        <v>0</v>
      </c>
      <c r="AC532" s="14" t="n">
        <v>0</v>
      </c>
      <c r="AD532" s="15" t="n">
        <f aca="false">H532*E532/1000</f>
        <v>0</v>
      </c>
      <c r="AE532" s="15" t="n">
        <f aca="false">I532*E532/1000</f>
        <v>0</v>
      </c>
      <c r="AF532" s="16" t="n">
        <f aca="false">ROUND(S532+T532+U532+V532-W532,2)</f>
        <v>0.01</v>
      </c>
      <c r="AG532" s="16" t="n">
        <f aca="false">ROUND(X532-W532-Y532,2)</f>
        <v>0.01</v>
      </c>
    </row>
    <row r="533" customFormat="false" ht="15" hidden="false" customHeight="false" outlineLevel="0" collapsed="false">
      <c r="A533" s="13" t="s">
        <v>336</v>
      </c>
      <c r="B533" s="13" t="s">
        <v>277</v>
      </c>
      <c r="C533" s="13" t="s">
        <v>229</v>
      </c>
      <c r="D533" s="13" t="s">
        <v>337</v>
      </c>
      <c r="E533" s="14" t="n">
        <v>8.35</v>
      </c>
      <c r="F533" s="14" t="n">
        <v>704</v>
      </c>
      <c r="G533" s="14" t="n">
        <v>5.8784</v>
      </c>
      <c r="H533" s="14"/>
      <c r="I533" s="14"/>
      <c r="J533" s="14" t="n">
        <v>44.12</v>
      </c>
      <c r="K533" s="14" t="n">
        <v>53.77</v>
      </c>
      <c r="L533" s="14" t="n">
        <v>3.81</v>
      </c>
      <c r="M533" s="14" t="n">
        <v>37.28</v>
      </c>
      <c r="N533" s="14" t="n">
        <v>5</v>
      </c>
      <c r="O533" s="14"/>
      <c r="P533" s="14" t="n">
        <v>0.38</v>
      </c>
      <c r="Q533" s="14" t="n">
        <v>0.6</v>
      </c>
      <c r="R533" s="14"/>
      <c r="S533" s="14" t="n">
        <v>100.84</v>
      </c>
      <c r="T533" s="14" t="n">
        <v>15.81</v>
      </c>
      <c r="U533" s="14" t="n">
        <v>10.65</v>
      </c>
      <c r="V533" s="14" t="n">
        <v>29.03</v>
      </c>
      <c r="W533" s="14" t="n">
        <v>156.33</v>
      </c>
      <c r="X533" s="14" t="n">
        <v>171.49</v>
      </c>
      <c r="Y533" s="14" t="n">
        <v>15.17</v>
      </c>
      <c r="Z533" s="14" t="n">
        <v>0.89</v>
      </c>
      <c r="AA533" s="14" t="n">
        <v>0</v>
      </c>
      <c r="AB533" s="14" t="n">
        <v>0</v>
      </c>
      <c r="AC533" s="14" t="n">
        <v>0</v>
      </c>
      <c r="AD533" s="15" t="n">
        <f aca="false">H533*E533/1000</f>
        <v>0</v>
      </c>
      <c r="AE533" s="15" t="n">
        <f aca="false">I533*E533/1000</f>
        <v>0</v>
      </c>
      <c r="AF533" s="16" t="n">
        <f aca="false">ROUND(S533+T533+U533+V533-W533,2)</f>
        <v>0</v>
      </c>
      <c r="AG533" s="16" t="n">
        <f aca="false">ROUND(X533-W533-Y533,2)</f>
        <v>-0.01</v>
      </c>
    </row>
    <row r="534" customFormat="false" ht="15" hidden="false" customHeight="false" outlineLevel="0" collapsed="false">
      <c r="A534" s="13" t="s">
        <v>340</v>
      </c>
      <c r="B534" s="13" t="s">
        <v>277</v>
      </c>
      <c r="C534" s="13" t="s">
        <v>229</v>
      </c>
      <c r="D534" s="13" t="s">
        <v>341</v>
      </c>
      <c r="E534" s="14" t="n">
        <v>25.75</v>
      </c>
      <c r="F534" s="14" t="n">
        <v>276</v>
      </c>
      <c r="G534" s="14" t="n">
        <v>7.107</v>
      </c>
      <c r="H534" s="14"/>
      <c r="I534" s="14"/>
      <c r="J534" s="14" t="n">
        <v>53.92</v>
      </c>
      <c r="K534" s="14" t="n">
        <v>51.57</v>
      </c>
      <c r="L534" s="14" t="n">
        <v>3.12</v>
      </c>
      <c r="M534" s="14" t="n">
        <v>21.3</v>
      </c>
      <c r="N534" s="14" t="n">
        <v>5</v>
      </c>
      <c r="O534" s="14"/>
      <c r="P534" s="14" t="n">
        <v>0.38</v>
      </c>
      <c r="Q534" s="14" t="n">
        <v>0.6</v>
      </c>
      <c r="R534" s="14"/>
      <c r="S534" s="14" t="n">
        <v>81.96</v>
      </c>
      <c r="T534" s="14" t="n">
        <v>0</v>
      </c>
      <c r="U534" s="14" t="n">
        <v>10.65</v>
      </c>
      <c r="V534" s="14" t="n">
        <v>21.38</v>
      </c>
      <c r="W534" s="14" t="n">
        <v>114</v>
      </c>
      <c r="X534" s="14" t="n">
        <v>152.89</v>
      </c>
      <c r="Y534" s="14" t="n">
        <v>38.9</v>
      </c>
      <c r="Z534" s="14" t="n">
        <v>2.76</v>
      </c>
      <c r="AA534" s="14" t="n">
        <v>0</v>
      </c>
      <c r="AB534" s="14" t="n">
        <v>0</v>
      </c>
      <c r="AC534" s="14" t="n">
        <v>0</v>
      </c>
      <c r="AD534" s="15" t="n">
        <f aca="false">H534*E534/1000</f>
        <v>0</v>
      </c>
      <c r="AE534" s="15" t="n">
        <f aca="false">I534*E534/1000</f>
        <v>0</v>
      </c>
      <c r="AF534" s="16" t="n">
        <f aca="false">ROUND(S534+T534+U534+V534-W534,2)</f>
        <v>-0.01</v>
      </c>
      <c r="AG534" s="16" t="n">
        <f aca="false">ROUND(X534-W534-Y534,2)</f>
        <v>-0.01</v>
      </c>
    </row>
    <row r="535" customFormat="false" ht="15" hidden="false" customHeight="false" outlineLevel="0" collapsed="false">
      <c r="A535" s="13" t="s">
        <v>332</v>
      </c>
      <c r="B535" s="13" t="s">
        <v>277</v>
      </c>
      <c r="C535" s="13" t="s">
        <v>234</v>
      </c>
      <c r="D535" s="13" t="s">
        <v>333</v>
      </c>
      <c r="E535" s="14" t="n">
        <v>210</v>
      </c>
      <c r="F535" s="14" t="n">
        <v>15</v>
      </c>
      <c r="G535" s="14" t="n">
        <v>3.15</v>
      </c>
      <c r="H535" s="14" t="n">
        <v>2</v>
      </c>
      <c r="I535" s="14"/>
      <c r="J535" s="14" t="n">
        <v>54.9</v>
      </c>
      <c r="K535" s="14" t="n">
        <v>54.29</v>
      </c>
      <c r="L535" s="14" t="n">
        <v>3.06</v>
      </c>
      <c r="M535" s="14" t="n">
        <v>37.01</v>
      </c>
      <c r="N535" s="14" t="n">
        <v>5</v>
      </c>
      <c r="O535" s="14"/>
      <c r="P535" s="14" t="n">
        <v>0.38</v>
      </c>
      <c r="Q535" s="14" t="n">
        <v>0.6</v>
      </c>
      <c r="R535" s="14" t="n">
        <v>0.5</v>
      </c>
      <c r="S535" s="14" t="n">
        <v>100.84</v>
      </c>
      <c r="T535" s="14" t="n">
        <v>7.54</v>
      </c>
      <c r="U535" s="14" t="n">
        <v>15</v>
      </c>
      <c r="V535" s="14" t="n">
        <v>26.09</v>
      </c>
      <c r="W535" s="14" t="n">
        <v>149.47</v>
      </c>
      <c r="X535" s="14" t="n">
        <v>174.05</v>
      </c>
      <c r="Y535" s="14" t="n">
        <v>24.57</v>
      </c>
      <c r="Z535" s="14" t="n">
        <v>0.32</v>
      </c>
      <c r="AA535" s="14" t="n">
        <v>0.36</v>
      </c>
      <c r="AB535" s="14" t="n">
        <v>0</v>
      </c>
      <c r="AC535" s="14" t="n">
        <v>0.1</v>
      </c>
      <c r="AD535" s="15" t="n">
        <f aca="false">H535*E535/1000</f>
        <v>0.42</v>
      </c>
      <c r="AE535" s="15" t="n">
        <f aca="false">I535*E535/1000</f>
        <v>0</v>
      </c>
      <c r="AF535" s="16" t="n">
        <f aca="false">ROUND(S535+T535+U535+V535-W535,2)</f>
        <v>0</v>
      </c>
      <c r="AG535" s="16" t="n">
        <f aca="false">ROUND(X535-W535-Y535,2)</f>
        <v>0.01</v>
      </c>
    </row>
    <row r="536" customFormat="false" ht="15" hidden="false" customHeight="false" outlineLevel="0" collapsed="false">
      <c r="A536" s="13" t="s">
        <v>334</v>
      </c>
      <c r="B536" s="13" t="s">
        <v>277</v>
      </c>
      <c r="C536" s="13" t="s">
        <v>234</v>
      </c>
      <c r="D536" s="13" t="s">
        <v>335</v>
      </c>
      <c r="E536" s="14" t="n">
        <v>37</v>
      </c>
      <c r="F536" s="14" t="n">
        <v>128</v>
      </c>
      <c r="G536" s="14" t="n">
        <v>4.736</v>
      </c>
      <c r="H536" s="14" t="n">
        <v>10</v>
      </c>
      <c r="I536" s="14"/>
      <c r="J536" s="14" t="n">
        <v>53.25</v>
      </c>
      <c r="K536" s="14" t="n">
        <v>54.52</v>
      </c>
      <c r="L536" s="14" t="n">
        <v>3.16</v>
      </c>
      <c r="M536" s="14" t="n">
        <v>22.37</v>
      </c>
      <c r="N536" s="14" t="n">
        <v>5</v>
      </c>
      <c r="O536" s="14"/>
      <c r="P536" s="14" t="n">
        <v>0.38</v>
      </c>
      <c r="Q536" s="14" t="n">
        <v>0.6</v>
      </c>
      <c r="R536" s="14" t="n">
        <v>0.5</v>
      </c>
      <c r="S536" s="14" t="n">
        <v>86.53</v>
      </c>
      <c r="T536" s="14" t="n">
        <v>15.73</v>
      </c>
      <c r="U536" s="14" t="n">
        <v>15</v>
      </c>
      <c r="V536" s="14" t="n">
        <v>25.32</v>
      </c>
      <c r="W536" s="14" t="n">
        <v>142.58</v>
      </c>
      <c r="X536" s="14" t="n">
        <v>198.53</v>
      </c>
      <c r="Y536" s="14" t="n">
        <v>55.95</v>
      </c>
      <c r="Z536" s="14" t="n">
        <v>2.18</v>
      </c>
      <c r="AA536" s="14" t="n">
        <v>0.26</v>
      </c>
      <c r="AB536" s="14" t="n">
        <v>0</v>
      </c>
      <c r="AC536" s="14" t="n">
        <v>0.21</v>
      </c>
      <c r="AD536" s="15" t="n">
        <f aca="false">H536*E536/1000</f>
        <v>0.37</v>
      </c>
      <c r="AE536" s="15" t="n">
        <f aca="false">I536*E536/1000</f>
        <v>0</v>
      </c>
      <c r="AF536" s="16" t="n">
        <f aca="false">ROUND(S536+T536+U536+V536-W536,2)</f>
        <v>0</v>
      </c>
      <c r="AG536" s="16" t="n">
        <f aca="false">ROUND(X536-W536-Y536,2)</f>
        <v>0</v>
      </c>
    </row>
    <row r="537" customFormat="false" ht="15" hidden="false" customHeight="false" outlineLevel="0" collapsed="false">
      <c r="A537" s="13" t="s">
        <v>336</v>
      </c>
      <c r="B537" s="13" t="s">
        <v>277</v>
      </c>
      <c r="C537" s="13" t="s">
        <v>234</v>
      </c>
      <c r="D537" s="13" t="s">
        <v>337</v>
      </c>
      <c r="E537" s="14" t="n">
        <v>8.35</v>
      </c>
      <c r="F537" s="14" t="n">
        <v>96</v>
      </c>
      <c r="G537" s="14" t="n">
        <v>0.8016</v>
      </c>
      <c r="H537" s="14" t="n">
        <v>14</v>
      </c>
      <c r="I537" s="14"/>
      <c r="J537" s="14" t="n">
        <v>44.12</v>
      </c>
      <c r="K537" s="14" t="n">
        <v>56.15</v>
      </c>
      <c r="L537" s="14" t="n">
        <v>3.81</v>
      </c>
      <c r="M537" s="14" t="n">
        <v>37.28</v>
      </c>
      <c r="N537" s="14" t="n">
        <v>5</v>
      </c>
      <c r="O537" s="14"/>
      <c r="P537" s="14" t="n">
        <v>0.38</v>
      </c>
      <c r="Q537" s="14" t="n">
        <v>0.6</v>
      </c>
      <c r="R537" s="14" t="n">
        <v>0.5</v>
      </c>
      <c r="S537" s="14" t="n">
        <v>103.73</v>
      </c>
      <c r="T537" s="14" t="n">
        <v>0.79</v>
      </c>
      <c r="U537" s="14" t="n">
        <v>12</v>
      </c>
      <c r="V537" s="14" t="n">
        <v>28.77</v>
      </c>
      <c r="W537" s="14" t="n">
        <v>145.29</v>
      </c>
      <c r="X537" s="14" t="n">
        <v>171.49</v>
      </c>
      <c r="Y537" s="14" t="n">
        <v>26.21</v>
      </c>
      <c r="Z537" s="14" t="n">
        <v>0.08</v>
      </c>
      <c r="AA537" s="14" t="n">
        <v>0.1</v>
      </c>
      <c r="AB537" s="14" t="n">
        <v>0</v>
      </c>
      <c r="AC537" s="14" t="n">
        <v>0.03</v>
      </c>
      <c r="AD537" s="15" t="n">
        <f aca="false">H537*E537/1000</f>
        <v>0.1169</v>
      </c>
      <c r="AE537" s="15" t="n">
        <f aca="false">I537*E537/1000</f>
        <v>0</v>
      </c>
      <c r="AF537" s="16" t="n">
        <f aca="false">ROUND(S537+T537+U537+V537-W537,2)</f>
        <v>0</v>
      </c>
      <c r="AG537" s="16" t="n">
        <f aca="false">ROUND(X537-W537-Y537,2)</f>
        <v>-0.01</v>
      </c>
    </row>
    <row r="538" customFormat="false" ht="15" hidden="false" customHeight="false" outlineLevel="0" collapsed="false">
      <c r="A538" s="13" t="s">
        <v>340</v>
      </c>
      <c r="B538" s="13" t="s">
        <v>277</v>
      </c>
      <c r="C538" s="13" t="s">
        <v>234</v>
      </c>
      <c r="D538" s="13" t="s">
        <v>341</v>
      </c>
      <c r="E538" s="14" t="n">
        <v>25.75</v>
      </c>
      <c r="F538" s="14" t="n">
        <v>296</v>
      </c>
      <c r="G538" s="14" t="n">
        <v>7.622</v>
      </c>
      <c r="H538" s="14"/>
      <c r="I538" s="14"/>
      <c r="J538" s="14" t="n">
        <v>50</v>
      </c>
      <c r="K538" s="14" t="n">
        <v>52.58</v>
      </c>
      <c r="L538" s="14" t="n">
        <v>3.36</v>
      </c>
      <c r="M538" s="14" t="n">
        <v>21.3</v>
      </c>
      <c r="N538" s="14" t="n">
        <v>5</v>
      </c>
      <c r="O538" s="14"/>
      <c r="P538" s="14" t="n">
        <v>0.38</v>
      </c>
      <c r="Q538" s="14" t="n">
        <v>0.6</v>
      </c>
      <c r="R538" s="14"/>
      <c r="S538" s="14" t="n">
        <v>83.22</v>
      </c>
      <c r="T538" s="14" t="n">
        <v>0</v>
      </c>
      <c r="U538" s="14" t="n">
        <v>10.65</v>
      </c>
      <c r="V538" s="14" t="n">
        <v>22.49</v>
      </c>
      <c r="W538" s="14" t="n">
        <v>116.36</v>
      </c>
      <c r="X538" s="14" t="n">
        <v>152.89</v>
      </c>
      <c r="Y538" s="14" t="n">
        <v>36.54</v>
      </c>
      <c r="Z538" s="14" t="n">
        <v>2.78</v>
      </c>
      <c r="AA538" s="14" t="n">
        <v>0</v>
      </c>
      <c r="AB538" s="14" t="n">
        <v>0</v>
      </c>
      <c r="AC538" s="14" t="n">
        <v>0</v>
      </c>
      <c r="AD538" s="15" t="n">
        <f aca="false">H538*E538/1000</f>
        <v>0</v>
      </c>
      <c r="AE538" s="15" t="n">
        <f aca="false">I538*E538/1000</f>
        <v>0</v>
      </c>
      <c r="AF538" s="16" t="n">
        <f aca="false">ROUND(S538+T538+U538+V538-W538,2)</f>
        <v>0</v>
      </c>
      <c r="AG538" s="16" t="n">
        <f aca="false">ROUND(X538-W538-Y538,2)</f>
        <v>-0.01</v>
      </c>
    </row>
    <row r="539" customFormat="false" ht="15" hidden="false" customHeight="false" outlineLevel="0" collapsed="false">
      <c r="A539" s="13" t="s">
        <v>338</v>
      </c>
      <c r="B539" s="13" t="s">
        <v>277</v>
      </c>
      <c r="C539" s="13" t="s">
        <v>234</v>
      </c>
      <c r="D539" s="13" t="s">
        <v>339</v>
      </c>
      <c r="E539" s="14" t="n">
        <v>107</v>
      </c>
      <c r="F539" s="14" t="n">
        <v>10</v>
      </c>
      <c r="G539" s="14" t="n">
        <v>1.07</v>
      </c>
      <c r="H539" s="14"/>
      <c r="I539" s="14"/>
      <c r="J539" s="14" t="n">
        <v>45.1</v>
      </c>
      <c r="K539" s="14" t="n">
        <v>53.45</v>
      </c>
      <c r="L539" s="14" t="n">
        <v>3.73</v>
      </c>
      <c r="M539" s="14" t="n">
        <v>22.24</v>
      </c>
      <c r="N539" s="14" t="n">
        <v>20</v>
      </c>
      <c r="O539" s="14"/>
      <c r="P539" s="14" t="n">
        <v>0.38</v>
      </c>
      <c r="Q539" s="14" t="n">
        <v>0.6</v>
      </c>
      <c r="R539" s="14" t="n">
        <v>5.14</v>
      </c>
      <c r="S539" s="14" t="n">
        <v>105.54</v>
      </c>
      <c r="T539" s="14" t="n">
        <v>42.9</v>
      </c>
      <c r="U539" s="14" t="n">
        <v>25</v>
      </c>
      <c r="V539" s="14" t="n">
        <v>28.06</v>
      </c>
      <c r="W539" s="14" t="n">
        <v>201.5</v>
      </c>
      <c r="X539" s="14" t="n">
        <v>294.61</v>
      </c>
      <c r="Y539" s="14" t="n">
        <v>93.11</v>
      </c>
      <c r="Z539" s="14" t="n">
        <v>1</v>
      </c>
      <c r="AA539" s="14" t="n">
        <v>0</v>
      </c>
      <c r="AB539" s="14" t="n">
        <v>0</v>
      </c>
      <c r="AC539" s="14" t="n">
        <v>0</v>
      </c>
      <c r="AD539" s="15" t="n">
        <f aca="false">H539*E539/1000</f>
        <v>0</v>
      </c>
      <c r="AE539" s="15" t="n">
        <f aca="false">I539*E539/1000</f>
        <v>0</v>
      </c>
      <c r="AF539" s="16" t="n">
        <f aca="false">ROUND(S539+T539+U539+V539-W539,2)</f>
        <v>0</v>
      </c>
      <c r="AG539" s="16" t="n">
        <f aca="false">ROUND(X539-W539-Y539,2)</f>
        <v>0</v>
      </c>
    </row>
    <row r="540" customFormat="false" ht="15" hidden="false" customHeight="false" outlineLevel="0" collapsed="false">
      <c r="A540" s="13" t="s">
        <v>332</v>
      </c>
      <c r="B540" s="13" t="s">
        <v>277</v>
      </c>
      <c r="C540" s="13" t="s">
        <v>268</v>
      </c>
      <c r="D540" s="13" t="s">
        <v>333</v>
      </c>
      <c r="E540" s="14" t="n">
        <v>210</v>
      </c>
      <c r="F540" s="14" t="n">
        <v>59</v>
      </c>
      <c r="G540" s="14" t="n">
        <v>12.39</v>
      </c>
      <c r="H540" s="14" t="n">
        <v>1</v>
      </c>
      <c r="I540" s="14"/>
      <c r="J540" s="14" t="n">
        <v>54.9</v>
      </c>
      <c r="K540" s="14" t="n">
        <v>52.35</v>
      </c>
      <c r="L540" s="14" t="n">
        <v>3.06</v>
      </c>
      <c r="M540" s="14" t="n">
        <v>35.54</v>
      </c>
      <c r="N540" s="14" t="n">
        <v>6.5</v>
      </c>
      <c r="O540" s="14"/>
      <c r="P540" s="14" t="n">
        <v>0.38</v>
      </c>
      <c r="Q540" s="14" t="n">
        <v>0.6</v>
      </c>
      <c r="R540" s="14" t="n">
        <v>0.5</v>
      </c>
      <c r="S540" s="14" t="n">
        <v>98.94</v>
      </c>
      <c r="T540" s="14" t="n">
        <v>7.54</v>
      </c>
      <c r="U540" s="14" t="n">
        <v>15</v>
      </c>
      <c r="V540" s="14" t="n">
        <v>26.09</v>
      </c>
      <c r="W540" s="14" t="n">
        <v>147.57</v>
      </c>
      <c r="X540" s="14" t="n">
        <v>174.05</v>
      </c>
      <c r="Y540" s="14" t="n">
        <v>26.48</v>
      </c>
      <c r="Z540" s="14" t="n">
        <v>3.05</v>
      </c>
      <c r="AA540" s="14" t="n">
        <v>0.18</v>
      </c>
      <c r="AB540" s="14" t="n">
        <v>0</v>
      </c>
      <c r="AC540" s="14" t="n">
        <v>0.06</v>
      </c>
      <c r="AD540" s="15" t="n">
        <f aca="false">H540*E540/1000</f>
        <v>0.21</v>
      </c>
      <c r="AE540" s="15" t="n">
        <f aca="false">I540*E540/1000</f>
        <v>0</v>
      </c>
      <c r="AF540" s="16" t="n">
        <f aca="false">ROUND(S540+T540+U540+V540-W540,2)</f>
        <v>0</v>
      </c>
      <c r="AG540" s="16" t="n">
        <f aca="false">ROUND(X540-W540-Y540,2)</f>
        <v>0</v>
      </c>
    </row>
    <row r="541" customFormat="false" ht="15" hidden="false" customHeight="false" outlineLevel="0" collapsed="false">
      <c r="A541" s="13" t="s">
        <v>334</v>
      </c>
      <c r="B541" s="13" t="s">
        <v>277</v>
      </c>
      <c r="C541" s="13" t="s">
        <v>268</v>
      </c>
      <c r="D541" s="13" t="s">
        <v>335</v>
      </c>
      <c r="E541" s="14" t="n">
        <v>37</v>
      </c>
      <c r="F541" s="14" t="n">
        <v>188</v>
      </c>
      <c r="G541" s="14" t="n">
        <v>6.956</v>
      </c>
      <c r="H541" s="14" t="n">
        <v>4</v>
      </c>
      <c r="I541" s="14"/>
      <c r="J541" s="14" t="n">
        <v>53.25</v>
      </c>
      <c r="K541" s="14" t="n">
        <v>52.58</v>
      </c>
      <c r="L541" s="14" t="n">
        <v>3.16</v>
      </c>
      <c r="M541" s="14" t="n">
        <v>21.53</v>
      </c>
      <c r="N541" s="14" t="n">
        <v>6.5</v>
      </c>
      <c r="O541" s="14"/>
      <c r="P541" s="14" t="n">
        <v>0.38</v>
      </c>
      <c r="Q541" s="14" t="n">
        <v>0.6</v>
      </c>
      <c r="R541" s="14" t="n">
        <v>0.5</v>
      </c>
      <c r="S541" s="14" t="n">
        <v>85.25</v>
      </c>
      <c r="T541" s="14" t="n">
        <v>15.73</v>
      </c>
      <c r="U541" s="14" t="n">
        <v>15</v>
      </c>
      <c r="V541" s="14" t="n">
        <v>25.32</v>
      </c>
      <c r="W541" s="14" t="n">
        <v>141.3</v>
      </c>
      <c r="X541" s="14" t="n">
        <v>198.53</v>
      </c>
      <c r="Y541" s="14" t="n">
        <v>57.23</v>
      </c>
      <c r="Z541" s="14" t="n">
        <v>3.79</v>
      </c>
      <c r="AA541" s="14" t="n">
        <v>0.1</v>
      </c>
      <c r="AB541" s="14" t="n">
        <v>0</v>
      </c>
      <c r="AC541" s="14" t="n">
        <v>0.08</v>
      </c>
      <c r="AD541" s="15" t="n">
        <f aca="false">H541*E541/1000</f>
        <v>0.148</v>
      </c>
      <c r="AE541" s="15" t="n">
        <f aca="false">I541*E541/1000</f>
        <v>0</v>
      </c>
      <c r="AF541" s="16" t="n">
        <f aca="false">ROUND(S541+T541+U541+V541-W541,2)</f>
        <v>0</v>
      </c>
      <c r="AG541" s="16" t="n">
        <f aca="false">ROUND(X541-W541-Y541,2)</f>
        <v>0</v>
      </c>
    </row>
    <row r="542" customFormat="false" ht="15" hidden="false" customHeight="false" outlineLevel="0" collapsed="false">
      <c r="A542" s="13" t="s">
        <v>336</v>
      </c>
      <c r="B542" s="13" t="s">
        <v>277</v>
      </c>
      <c r="C542" s="13" t="s">
        <v>268</v>
      </c>
      <c r="D542" s="13" t="s">
        <v>337</v>
      </c>
      <c r="E542" s="14" t="n">
        <v>8.35</v>
      </c>
      <c r="F542" s="14" t="n">
        <v>120</v>
      </c>
      <c r="G542" s="14" t="n">
        <v>1.002</v>
      </c>
      <c r="H542" s="14" t="n">
        <v>8</v>
      </c>
      <c r="I542" s="14"/>
      <c r="J542" s="14" t="n">
        <v>44.12</v>
      </c>
      <c r="K542" s="14" t="n">
        <v>54.16</v>
      </c>
      <c r="L542" s="14" t="n">
        <v>3.81</v>
      </c>
      <c r="M542" s="14" t="n">
        <v>35.87</v>
      </c>
      <c r="N542" s="14" t="n">
        <v>6.5</v>
      </c>
      <c r="O542" s="14"/>
      <c r="P542" s="14" t="n">
        <v>0.38</v>
      </c>
      <c r="Q542" s="14" t="n">
        <v>0.6</v>
      </c>
      <c r="R542" s="14" t="n">
        <v>0.5</v>
      </c>
      <c r="S542" s="14" t="n">
        <v>101.81</v>
      </c>
      <c r="T542" s="14" t="n">
        <v>0.79</v>
      </c>
      <c r="U542" s="14" t="n">
        <v>12</v>
      </c>
      <c r="V542" s="14" t="n">
        <v>28.77</v>
      </c>
      <c r="W542" s="14" t="n">
        <v>143.37</v>
      </c>
      <c r="X542" s="14" t="n">
        <v>171.49</v>
      </c>
      <c r="Y542" s="14" t="n">
        <v>28.12</v>
      </c>
      <c r="Z542" s="14" t="n">
        <v>0.2</v>
      </c>
      <c r="AA542" s="14" t="n">
        <v>0.06</v>
      </c>
      <c r="AB542" s="14" t="n">
        <v>0</v>
      </c>
      <c r="AC542" s="14" t="n">
        <v>0.02</v>
      </c>
      <c r="AD542" s="15" t="n">
        <f aca="false">H542*E542/1000</f>
        <v>0.0668</v>
      </c>
      <c r="AE542" s="15" t="n">
        <f aca="false">I542*E542/1000</f>
        <v>0</v>
      </c>
      <c r="AF542" s="16" t="n">
        <f aca="false">ROUND(S542+T542+U542+V542-W542,2)</f>
        <v>0</v>
      </c>
      <c r="AG542" s="16" t="n">
        <f aca="false">ROUND(X542-W542-Y542,2)</f>
        <v>0</v>
      </c>
    </row>
    <row r="543" customFormat="false" ht="15" hidden="false" customHeight="false" outlineLevel="0" collapsed="false">
      <c r="A543" s="13" t="s">
        <v>332</v>
      </c>
      <c r="B543" s="13" t="s">
        <v>277</v>
      </c>
      <c r="C543" s="13" t="s">
        <v>269</v>
      </c>
      <c r="D543" s="13" t="s">
        <v>333</v>
      </c>
      <c r="E543" s="14" t="n">
        <v>210</v>
      </c>
      <c r="F543" s="14" t="n">
        <v>129</v>
      </c>
      <c r="G543" s="14" t="n">
        <v>27.09</v>
      </c>
      <c r="H543" s="14" t="n">
        <v>4</v>
      </c>
      <c r="I543" s="14"/>
      <c r="J543" s="14" t="n">
        <v>53.34</v>
      </c>
      <c r="K543" s="14" t="n">
        <v>49.92</v>
      </c>
      <c r="L543" s="14" t="n">
        <v>2.47</v>
      </c>
      <c r="M543" s="14" t="n">
        <v>35.07</v>
      </c>
      <c r="N543" s="14" t="n">
        <v>6.5</v>
      </c>
      <c r="O543" s="14"/>
      <c r="P543" s="14" t="n">
        <v>0.38</v>
      </c>
      <c r="Q543" s="14" t="n">
        <v>0.6</v>
      </c>
      <c r="R543" s="14" t="n">
        <v>0.5</v>
      </c>
      <c r="S543" s="14" t="n">
        <v>95.44</v>
      </c>
      <c r="T543" s="14" t="n">
        <v>7.54</v>
      </c>
      <c r="U543" s="14" t="n">
        <v>15</v>
      </c>
      <c r="V543" s="14" t="n">
        <v>26.45</v>
      </c>
      <c r="W543" s="14" t="n">
        <v>144.43</v>
      </c>
      <c r="X543" s="14" t="n">
        <v>174.05</v>
      </c>
      <c r="Y543" s="14" t="n">
        <v>29.61</v>
      </c>
      <c r="Z543" s="14" t="n">
        <v>7.07</v>
      </c>
      <c r="AA543" s="14" t="n">
        <v>0.7</v>
      </c>
      <c r="AB543" s="14" t="n">
        <v>0</v>
      </c>
      <c r="AC543" s="14" t="n">
        <v>0.25</v>
      </c>
      <c r="AD543" s="15" t="n">
        <f aca="false">H543*E543/1000</f>
        <v>0.84</v>
      </c>
      <c r="AE543" s="15" t="n">
        <f aca="false">I543*E543/1000</f>
        <v>0</v>
      </c>
      <c r="AF543" s="16" t="n">
        <f aca="false">ROUND(S543+T543+U543+V543-W543,2)</f>
        <v>0</v>
      </c>
      <c r="AG543" s="16" t="n">
        <f aca="false">ROUND(X543-W543-Y543,2)</f>
        <v>0.01</v>
      </c>
    </row>
    <row r="544" customFormat="false" ht="15" hidden="false" customHeight="false" outlineLevel="0" collapsed="false">
      <c r="A544" s="13" t="s">
        <v>334</v>
      </c>
      <c r="B544" s="13" t="s">
        <v>277</v>
      </c>
      <c r="C544" s="13" t="s">
        <v>269</v>
      </c>
      <c r="D544" s="13" t="s">
        <v>335</v>
      </c>
      <c r="E544" s="14" t="n">
        <v>37</v>
      </c>
      <c r="F544" s="14" t="n">
        <v>520</v>
      </c>
      <c r="G544" s="14" t="n">
        <v>19.24</v>
      </c>
      <c r="H544" s="14" t="n">
        <v>12</v>
      </c>
      <c r="I544" s="14"/>
      <c r="J544" s="14" t="n">
        <v>53.25</v>
      </c>
      <c r="K544" s="14" t="n">
        <v>49.93</v>
      </c>
      <c r="L544" s="14" t="n">
        <v>2.48</v>
      </c>
      <c r="M544" s="14" t="n">
        <v>21.26</v>
      </c>
      <c r="N544" s="14" t="n">
        <v>6.5</v>
      </c>
      <c r="O544" s="14"/>
      <c r="P544" s="14" t="n">
        <v>0.38</v>
      </c>
      <c r="Q544" s="14" t="n">
        <v>0.6</v>
      </c>
      <c r="R544" s="14" t="n">
        <v>0.5</v>
      </c>
      <c r="S544" s="14" t="n">
        <v>81.65</v>
      </c>
      <c r="T544" s="14" t="n">
        <v>15.73</v>
      </c>
      <c r="U544" s="14" t="n">
        <v>15</v>
      </c>
      <c r="V544" s="14" t="n">
        <v>25.32</v>
      </c>
      <c r="W544" s="14" t="n">
        <v>137.7</v>
      </c>
      <c r="X544" s="14" t="n">
        <v>198.53</v>
      </c>
      <c r="Y544" s="14" t="n">
        <v>60.83</v>
      </c>
      <c r="Z544" s="14" t="n">
        <v>11.13</v>
      </c>
      <c r="AA544" s="14" t="n">
        <v>0.31</v>
      </c>
      <c r="AB544" s="14" t="n">
        <v>0</v>
      </c>
      <c r="AC544" s="14" t="n">
        <v>0.27</v>
      </c>
      <c r="AD544" s="15" t="n">
        <f aca="false">H544*E544/1000</f>
        <v>0.444</v>
      </c>
      <c r="AE544" s="15" t="n">
        <f aca="false">I544*E544/1000</f>
        <v>0</v>
      </c>
      <c r="AF544" s="16" t="n">
        <f aca="false">ROUND(S544+T544+U544+V544-W544,2)</f>
        <v>0</v>
      </c>
      <c r="AG544" s="16" t="n">
        <f aca="false">ROUND(X544-W544-Y544,2)</f>
        <v>0</v>
      </c>
    </row>
    <row r="545" customFormat="false" ht="15" hidden="false" customHeight="false" outlineLevel="0" collapsed="false">
      <c r="A545" s="13" t="s">
        <v>336</v>
      </c>
      <c r="B545" s="13" t="s">
        <v>277</v>
      </c>
      <c r="C545" s="13" t="s">
        <v>269</v>
      </c>
      <c r="D545" s="13" t="s">
        <v>337</v>
      </c>
      <c r="E545" s="14" t="n">
        <v>8.35</v>
      </c>
      <c r="F545" s="14" t="n">
        <v>568</v>
      </c>
      <c r="G545" s="14" t="n">
        <v>4.74</v>
      </c>
      <c r="H545" s="14"/>
      <c r="I545" s="14"/>
      <c r="J545" s="14" t="n">
        <v>44.12</v>
      </c>
      <c r="K545" s="14" t="n">
        <v>51.42</v>
      </c>
      <c r="L545" s="14" t="n">
        <v>2.99</v>
      </c>
      <c r="M545" s="14" t="n">
        <v>35.41</v>
      </c>
      <c r="N545" s="14" t="n">
        <v>6.5</v>
      </c>
      <c r="O545" s="14"/>
      <c r="P545" s="14" t="n">
        <v>0.38</v>
      </c>
      <c r="Q545" s="14" t="n">
        <v>0.6</v>
      </c>
      <c r="R545" s="14" t="n">
        <v>0.5</v>
      </c>
      <c r="S545" s="14" t="n">
        <v>97.81</v>
      </c>
      <c r="T545" s="14" t="n">
        <v>0.79</v>
      </c>
      <c r="U545" s="14" t="n">
        <v>12</v>
      </c>
      <c r="V545" s="14" t="n">
        <v>28.77</v>
      </c>
      <c r="W545" s="14" t="n">
        <v>139.37</v>
      </c>
      <c r="X545" s="14" t="n">
        <v>171.49</v>
      </c>
      <c r="Y545" s="14" t="n">
        <v>32.12</v>
      </c>
      <c r="Z545" s="14" t="n">
        <v>1.52</v>
      </c>
      <c r="AA545" s="14" t="n">
        <v>0</v>
      </c>
      <c r="AB545" s="14" t="n">
        <v>0</v>
      </c>
      <c r="AC545" s="14" t="n">
        <v>0</v>
      </c>
      <c r="AD545" s="15" t="n">
        <f aca="false">H545*E545/1000</f>
        <v>0</v>
      </c>
      <c r="AE545" s="15" t="n">
        <f aca="false">I545*E545/1000</f>
        <v>0</v>
      </c>
      <c r="AF545" s="16" t="n">
        <f aca="false">ROUND(S545+T545+U545+V545-W545,2)</f>
        <v>0</v>
      </c>
      <c r="AG545" s="16" t="n">
        <f aca="false">ROUND(X545-W545-Y545,2)</f>
        <v>0</v>
      </c>
    </row>
    <row r="546" customFormat="false" ht="15" hidden="false" customHeight="false" outlineLevel="0" collapsed="false">
      <c r="A546" s="13" t="s">
        <v>332</v>
      </c>
      <c r="B546" s="13" t="s">
        <v>277</v>
      </c>
      <c r="C546" s="13" t="s">
        <v>235</v>
      </c>
      <c r="D546" s="13" t="s">
        <v>333</v>
      </c>
      <c r="E546" s="14" t="n">
        <v>205</v>
      </c>
      <c r="F546" s="14" t="n">
        <v>60</v>
      </c>
      <c r="G546" s="14" t="n">
        <v>12.3</v>
      </c>
      <c r="H546" s="14" t="n">
        <v>1</v>
      </c>
      <c r="I546" s="14"/>
      <c r="J546" s="14" t="n">
        <v>52.07</v>
      </c>
      <c r="K546" s="14" t="n">
        <v>50.05</v>
      </c>
      <c r="L546" s="14" t="n">
        <v>2.54</v>
      </c>
      <c r="M546" s="14" t="n">
        <v>35.13</v>
      </c>
      <c r="N546" s="14" t="n">
        <v>7</v>
      </c>
      <c r="O546" s="14"/>
      <c r="P546" s="14" t="n">
        <v>0.38</v>
      </c>
      <c r="Q546" s="14" t="n">
        <v>0.6</v>
      </c>
      <c r="R546" s="14" t="n">
        <v>0.5</v>
      </c>
      <c r="S546" s="14" t="n">
        <v>96.19</v>
      </c>
      <c r="T546" s="14" t="n">
        <v>7.73</v>
      </c>
      <c r="U546" s="14" t="n">
        <v>15</v>
      </c>
      <c r="V546" s="14" t="n">
        <v>26.75</v>
      </c>
      <c r="W546" s="14" t="n">
        <v>145.67</v>
      </c>
      <c r="X546" s="14" t="n">
        <v>177.59</v>
      </c>
      <c r="Y546" s="14" t="n">
        <v>31.92</v>
      </c>
      <c r="Z546" s="14" t="n">
        <v>3.69</v>
      </c>
      <c r="AA546" s="14" t="n">
        <v>0.17</v>
      </c>
      <c r="AB546" s="14" t="n">
        <v>0</v>
      </c>
      <c r="AC546" s="14" t="n">
        <v>0.07</v>
      </c>
      <c r="AD546" s="15" t="n">
        <f aca="false">H546*E546/1000</f>
        <v>0.205</v>
      </c>
      <c r="AE546" s="15" t="n">
        <f aca="false">I546*E546/1000</f>
        <v>0</v>
      </c>
      <c r="AF546" s="16" t="n">
        <f aca="false">ROUND(S546+T546+U546+V546-W546,2)</f>
        <v>0</v>
      </c>
      <c r="AG546" s="16" t="n">
        <f aca="false">ROUND(X546-W546-Y546,2)</f>
        <v>0</v>
      </c>
    </row>
    <row r="547" customFormat="false" ht="15" hidden="false" customHeight="false" outlineLevel="0" collapsed="false">
      <c r="A547" s="13" t="s">
        <v>334</v>
      </c>
      <c r="B547" s="13" t="s">
        <v>277</v>
      </c>
      <c r="C547" s="13" t="s">
        <v>235</v>
      </c>
      <c r="D547" s="13" t="s">
        <v>335</v>
      </c>
      <c r="E547" s="14" t="n">
        <v>37</v>
      </c>
      <c r="F547" s="14" t="n">
        <v>248</v>
      </c>
      <c r="G547" s="14" t="n">
        <v>9.176</v>
      </c>
      <c r="H547" s="14" t="n">
        <v>6</v>
      </c>
      <c r="I547" s="14"/>
      <c r="J547" s="14" t="n">
        <v>53.25</v>
      </c>
      <c r="K547" s="14" t="n">
        <v>49.88</v>
      </c>
      <c r="L547" s="14" t="n">
        <v>2.48</v>
      </c>
      <c r="M547" s="14" t="n">
        <v>20.82</v>
      </c>
      <c r="N547" s="14" t="n">
        <v>7</v>
      </c>
      <c r="O547" s="14"/>
      <c r="P547" s="14" t="n">
        <v>0.38</v>
      </c>
      <c r="Q547" s="14" t="n">
        <v>0.6</v>
      </c>
      <c r="R547" s="14" t="n">
        <v>0.5</v>
      </c>
      <c r="S547" s="14" t="n">
        <v>81.66</v>
      </c>
      <c r="T547" s="14" t="n">
        <v>15.73</v>
      </c>
      <c r="U547" s="14" t="n">
        <v>15</v>
      </c>
      <c r="V547" s="14" t="n">
        <v>25.32</v>
      </c>
      <c r="W547" s="14" t="n">
        <v>137.71</v>
      </c>
      <c r="X547" s="14" t="n">
        <v>192.37</v>
      </c>
      <c r="Y547" s="14" t="n">
        <v>54.66</v>
      </c>
      <c r="Z547" s="14" t="n">
        <v>4.74</v>
      </c>
      <c r="AA547" s="14" t="n">
        <v>0.15</v>
      </c>
      <c r="AB547" s="14" t="n">
        <v>0</v>
      </c>
      <c r="AC547" s="14" t="n">
        <v>0.12</v>
      </c>
      <c r="AD547" s="15" t="n">
        <f aca="false">H547*E547/1000</f>
        <v>0.222</v>
      </c>
      <c r="AE547" s="15" t="n">
        <f aca="false">I547*E547/1000</f>
        <v>0</v>
      </c>
      <c r="AF547" s="16" t="n">
        <f aca="false">ROUND(S547+T547+U547+V547-W547,2)</f>
        <v>0</v>
      </c>
      <c r="AG547" s="16" t="n">
        <f aca="false">ROUND(X547-W547-Y547,2)</f>
        <v>0</v>
      </c>
    </row>
    <row r="548" customFormat="false" ht="15" hidden="false" customHeight="false" outlineLevel="0" collapsed="false">
      <c r="A548" s="13" t="s">
        <v>336</v>
      </c>
      <c r="B548" s="13" t="s">
        <v>277</v>
      </c>
      <c r="C548" s="13" t="s">
        <v>235</v>
      </c>
      <c r="D548" s="13" t="s">
        <v>337</v>
      </c>
      <c r="E548" s="14" t="n">
        <v>8.35</v>
      </c>
      <c r="F548" s="14" t="n">
        <v>351</v>
      </c>
      <c r="G548" s="14" t="n">
        <v>2.93</v>
      </c>
      <c r="H548" s="14" t="n">
        <v>16</v>
      </c>
      <c r="I548" s="14"/>
      <c r="J548" s="14" t="n">
        <v>44.12</v>
      </c>
      <c r="K548" s="14" t="n">
        <v>51.37</v>
      </c>
      <c r="L548" s="14" t="n">
        <v>2.99</v>
      </c>
      <c r="M548" s="14" t="n">
        <v>34.68</v>
      </c>
      <c r="N548" s="14" t="n">
        <v>7</v>
      </c>
      <c r="O548" s="14"/>
      <c r="P548" s="14" t="n">
        <v>0.38</v>
      </c>
      <c r="Q548" s="14" t="n">
        <v>0.6</v>
      </c>
      <c r="R548" s="14" t="n">
        <v>0.5</v>
      </c>
      <c r="S548" s="14" t="n">
        <v>97.52</v>
      </c>
      <c r="T548" s="14" t="n">
        <v>0.79</v>
      </c>
      <c r="U548" s="14" t="n">
        <v>12</v>
      </c>
      <c r="V548" s="14" t="n">
        <v>28.77</v>
      </c>
      <c r="W548" s="14" t="n">
        <v>139.08</v>
      </c>
      <c r="X548" s="14" t="n">
        <v>165.9</v>
      </c>
      <c r="Y548" s="14" t="n">
        <v>26.82</v>
      </c>
      <c r="Z548" s="14" t="n">
        <v>0.64</v>
      </c>
      <c r="AA548" s="14" t="n">
        <v>0.11</v>
      </c>
      <c r="AB548" s="14" t="n">
        <v>0</v>
      </c>
      <c r="AC548" s="14" t="n">
        <v>0.04</v>
      </c>
      <c r="AD548" s="15" t="n">
        <f aca="false">H548*E548/1000</f>
        <v>0.1336</v>
      </c>
      <c r="AE548" s="15" t="n">
        <f aca="false">I548*E548/1000</f>
        <v>0</v>
      </c>
      <c r="AF548" s="16" t="n">
        <f aca="false">ROUND(S548+T548+U548+V548-W548,2)</f>
        <v>0</v>
      </c>
      <c r="AG548" s="16" t="n">
        <f aca="false">ROUND(X548-W548-Y548,2)</f>
        <v>0</v>
      </c>
    </row>
    <row r="549" customFormat="false" ht="15" hidden="false" customHeight="false" outlineLevel="0" collapsed="false">
      <c r="A549" s="13" t="s">
        <v>332</v>
      </c>
      <c r="B549" s="13" t="s">
        <v>277</v>
      </c>
      <c r="C549" s="13" t="s">
        <v>240</v>
      </c>
      <c r="D549" s="13" t="s">
        <v>333</v>
      </c>
      <c r="E549" s="14" t="n">
        <v>205</v>
      </c>
      <c r="F549" s="14" t="n">
        <v>128</v>
      </c>
      <c r="G549" s="14" t="n">
        <v>26.24</v>
      </c>
      <c r="H549" s="14"/>
      <c r="I549" s="14"/>
      <c r="J549" s="14" t="n">
        <v>56.77</v>
      </c>
      <c r="K549" s="14" t="n">
        <v>48.85</v>
      </c>
      <c r="L549" s="14" t="n">
        <v>2.43</v>
      </c>
      <c r="M549" s="14" t="n">
        <v>32.87</v>
      </c>
      <c r="N549" s="14" t="n">
        <v>7</v>
      </c>
      <c r="O549" s="14"/>
      <c r="P549" s="14" t="n">
        <v>0.38</v>
      </c>
      <c r="Q549" s="14" t="n">
        <v>0.6</v>
      </c>
      <c r="R549" s="14" t="n">
        <v>0.5</v>
      </c>
      <c r="S549" s="14" t="n">
        <v>92.64</v>
      </c>
      <c r="T549" s="14" t="n">
        <v>7.73</v>
      </c>
      <c r="U549" s="14" t="n">
        <v>15</v>
      </c>
      <c r="V549" s="14" t="n">
        <v>25.69</v>
      </c>
      <c r="W549" s="14" t="n">
        <v>141.06</v>
      </c>
      <c r="X549" s="14" t="n">
        <v>177.59</v>
      </c>
      <c r="Y549" s="14" t="n">
        <v>36.53</v>
      </c>
      <c r="Z549" s="14" t="n">
        <v>9.58</v>
      </c>
      <c r="AA549" s="14" t="n">
        <v>0</v>
      </c>
      <c r="AB549" s="14" t="n">
        <v>0</v>
      </c>
      <c r="AC549" s="14" t="n">
        <v>0</v>
      </c>
      <c r="AD549" s="15" t="n">
        <f aca="false">H549*E549/1000</f>
        <v>0</v>
      </c>
      <c r="AE549" s="15" t="n">
        <f aca="false">I549*E549/1000</f>
        <v>0</v>
      </c>
      <c r="AF549" s="16" t="n">
        <f aca="false">ROUND(S549+T549+U549+V549-W549,2)</f>
        <v>0</v>
      </c>
      <c r="AG549" s="16" t="n">
        <f aca="false">ROUND(X549-W549-Y549,2)</f>
        <v>0</v>
      </c>
    </row>
    <row r="550" customFormat="false" ht="15" hidden="false" customHeight="false" outlineLevel="0" collapsed="false">
      <c r="A550" s="13" t="s">
        <v>334</v>
      </c>
      <c r="B550" s="13" t="s">
        <v>277</v>
      </c>
      <c r="C550" s="13" t="s">
        <v>240</v>
      </c>
      <c r="D550" s="13" t="s">
        <v>335</v>
      </c>
      <c r="E550" s="14" t="n">
        <v>37</v>
      </c>
      <c r="F550" s="14" t="n">
        <v>168</v>
      </c>
      <c r="G550" s="14" t="n">
        <v>6.216</v>
      </c>
      <c r="H550" s="14" t="n">
        <v>14</v>
      </c>
      <c r="I550" s="14"/>
      <c r="J550" s="14" t="n">
        <v>53.25</v>
      </c>
      <c r="K550" s="14" t="n">
        <v>49.3</v>
      </c>
      <c r="L550" s="14" t="n">
        <v>2.59</v>
      </c>
      <c r="M550" s="14" t="n">
        <v>17.55</v>
      </c>
      <c r="N550" s="14" t="n">
        <v>7</v>
      </c>
      <c r="O550" s="14"/>
      <c r="P550" s="14" t="n">
        <v>0.38</v>
      </c>
      <c r="Q550" s="14" t="n">
        <v>0.6</v>
      </c>
      <c r="R550" s="14" t="n">
        <v>0.5</v>
      </c>
      <c r="S550" s="14" t="n">
        <v>77.92</v>
      </c>
      <c r="T550" s="14" t="n">
        <v>15.73</v>
      </c>
      <c r="U550" s="14" t="n">
        <v>15</v>
      </c>
      <c r="V550" s="14" t="n">
        <v>25.32</v>
      </c>
      <c r="W550" s="14" t="n">
        <v>133.97</v>
      </c>
      <c r="X550" s="14" t="n">
        <v>192.37</v>
      </c>
      <c r="Y550" s="14" t="n">
        <v>58.4</v>
      </c>
      <c r="Z550" s="14" t="n">
        <v>2.99</v>
      </c>
      <c r="AA550" s="14" t="n">
        <v>0.34</v>
      </c>
      <c r="AB550" s="14" t="n">
        <v>0</v>
      </c>
      <c r="AC550" s="14" t="n">
        <v>0.3</v>
      </c>
      <c r="AD550" s="15" t="n">
        <f aca="false">H550*E550/1000</f>
        <v>0.518</v>
      </c>
      <c r="AE550" s="15" t="n">
        <f aca="false">I550*E550/1000</f>
        <v>0</v>
      </c>
      <c r="AF550" s="16" t="n">
        <f aca="false">ROUND(S550+T550+U550+V550-W550,2)</f>
        <v>0</v>
      </c>
      <c r="AG550" s="16" t="n">
        <f aca="false">ROUND(X550-W550-Y550,2)</f>
        <v>0</v>
      </c>
    </row>
    <row r="551" customFormat="false" ht="15" hidden="false" customHeight="false" outlineLevel="0" collapsed="false">
      <c r="A551" s="13" t="s">
        <v>336</v>
      </c>
      <c r="B551" s="13" t="s">
        <v>277</v>
      </c>
      <c r="C551" s="13" t="s">
        <v>240</v>
      </c>
      <c r="D551" s="13" t="s">
        <v>337</v>
      </c>
      <c r="E551" s="14" t="n">
        <v>8.35</v>
      </c>
      <c r="F551" s="14" t="n">
        <v>656</v>
      </c>
      <c r="G551" s="14" t="n">
        <v>5.48</v>
      </c>
      <c r="H551" s="14"/>
      <c r="I551" s="14"/>
      <c r="J551" s="14" t="n">
        <v>44.12</v>
      </c>
      <c r="K551" s="14" t="n">
        <v>50.77</v>
      </c>
      <c r="L551" s="14" t="n">
        <v>3.13</v>
      </c>
      <c r="M551" s="14" t="n">
        <v>28.05</v>
      </c>
      <c r="N551" s="14" t="n">
        <v>7</v>
      </c>
      <c r="O551" s="14"/>
      <c r="P551" s="14" t="n">
        <v>0.38</v>
      </c>
      <c r="Q551" s="14" t="n">
        <v>0.6</v>
      </c>
      <c r="R551" s="14" t="n">
        <v>0.5</v>
      </c>
      <c r="S551" s="14" t="n">
        <v>90.43</v>
      </c>
      <c r="T551" s="14" t="n">
        <v>0.79</v>
      </c>
      <c r="U551" s="14" t="n">
        <v>12</v>
      </c>
      <c r="V551" s="14" t="n">
        <v>28.77</v>
      </c>
      <c r="W551" s="14" t="n">
        <v>132</v>
      </c>
      <c r="X551" s="14" t="n">
        <v>165.9</v>
      </c>
      <c r="Y551" s="14" t="n">
        <v>33.91</v>
      </c>
      <c r="Z551" s="14" t="n">
        <v>1.86</v>
      </c>
      <c r="AA551" s="14" t="n">
        <v>0</v>
      </c>
      <c r="AB551" s="14" t="n">
        <v>0</v>
      </c>
      <c r="AC551" s="14" t="n">
        <v>0</v>
      </c>
      <c r="AD551" s="15" t="n">
        <f aca="false">H551*E551/1000</f>
        <v>0</v>
      </c>
      <c r="AE551" s="15" t="n">
        <f aca="false">I551*E551/1000</f>
        <v>0</v>
      </c>
      <c r="AF551" s="16" t="n">
        <f aca="false">ROUND(S551+T551+U551+V551-W551,2)</f>
        <v>-0.01</v>
      </c>
      <c r="AG551" s="16" t="n">
        <f aca="false">ROUND(X551-W551-Y551,2)</f>
        <v>-0.01</v>
      </c>
    </row>
    <row r="552" customFormat="false" ht="15" hidden="false" customHeight="false" outlineLevel="0" collapsed="false">
      <c r="A552" s="13" t="s">
        <v>332</v>
      </c>
      <c r="B552" s="13" t="s">
        <v>277</v>
      </c>
      <c r="C552" s="13" t="s">
        <v>241</v>
      </c>
      <c r="D552" s="13" t="s">
        <v>333</v>
      </c>
      <c r="E552" s="14" t="n">
        <v>205</v>
      </c>
      <c r="F552" s="14" t="n">
        <v>70</v>
      </c>
      <c r="G552" s="14" t="n">
        <v>14.35</v>
      </c>
      <c r="H552" s="14"/>
      <c r="I552" s="14"/>
      <c r="J552" s="14" t="n">
        <v>56.77</v>
      </c>
      <c r="K552" s="14" t="n">
        <v>49.72</v>
      </c>
      <c r="L552" s="14" t="n">
        <v>2.43</v>
      </c>
      <c r="M552" s="14" t="n">
        <v>35.27</v>
      </c>
      <c r="N552" s="14" t="n">
        <v>7</v>
      </c>
      <c r="O552" s="14"/>
      <c r="P552" s="14" t="n">
        <v>0.38</v>
      </c>
      <c r="Q552" s="14" t="n">
        <v>0.6</v>
      </c>
      <c r="R552" s="14" t="n">
        <v>0.5</v>
      </c>
      <c r="S552" s="14" t="n">
        <v>95.91</v>
      </c>
      <c r="T552" s="14" t="n">
        <v>7.73</v>
      </c>
      <c r="U552" s="14" t="n">
        <v>15</v>
      </c>
      <c r="V552" s="14" t="n">
        <v>25.69</v>
      </c>
      <c r="W552" s="14" t="n">
        <v>144.33</v>
      </c>
      <c r="X552" s="14" t="n">
        <v>177.59</v>
      </c>
      <c r="Y552" s="14" t="n">
        <v>33.26</v>
      </c>
      <c r="Z552" s="14" t="n">
        <v>4.77</v>
      </c>
      <c r="AA552" s="14" t="n">
        <v>0</v>
      </c>
      <c r="AB552" s="14" t="n">
        <v>0</v>
      </c>
      <c r="AC552" s="14" t="n">
        <v>0</v>
      </c>
      <c r="AD552" s="15" t="n">
        <f aca="false">H552*E552/1000</f>
        <v>0</v>
      </c>
      <c r="AE552" s="15" t="n">
        <f aca="false">I552*E552/1000</f>
        <v>0</v>
      </c>
      <c r="AF552" s="16" t="n">
        <f aca="false">ROUND(S552+T552+U552+V552-W552,2)</f>
        <v>0</v>
      </c>
      <c r="AG552" s="16" t="n">
        <f aca="false">ROUND(X552-W552-Y552,2)</f>
        <v>0</v>
      </c>
    </row>
    <row r="553" customFormat="false" ht="15" hidden="false" customHeight="false" outlineLevel="0" collapsed="false">
      <c r="A553" s="13" t="s">
        <v>334</v>
      </c>
      <c r="B553" s="13" t="s">
        <v>277</v>
      </c>
      <c r="C553" s="13" t="s">
        <v>241</v>
      </c>
      <c r="D553" s="13" t="s">
        <v>335</v>
      </c>
      <c r="E553" s="14" t="n">
        <v>37</v>
      </c>
      <c r="F553" s="14" t="n">
        <v>454</v>
      </c>
      <c r="G553" s="14" t="n">
        <v>16.798</v>
      </c>
      <c r="H553" s="14" t="n">
        <v>26</v>
      </c>
      <c r="I553" s="14"/>
      <c r="J553" s="14" t="n">
        <v>53.25</v>
      </c>
      <c r="K553" s="14" t="n">
        <v>50.17</v>
      </c>
      <c r="L553" s="14" t="n">
        <v>2.59</v>
      </c>
      <c r="M553" s="14" t="n">
        <v>18.73</v>
      </c>
      <c r="N553" s="14" t="n">
        <v>7</v>
      </c>
      <c r="O553" s="14"/>
      <c r="P553" s="14" t="n">
        <v>0.38</v>
      </c>
      <c r="Q553" s="14" t="n">
        <v>0.6</v>
      </c>
      <c r="R553" s="14" t="n">
        <v>0.5</v>
      </c>
      <c r="S553" s="14" t="n">
        <v>79.98</v>
      </c>
      <c r="T553" s="14" t="n">
        <v>15.73</v>
      </c>
      <c r="U553" s="14" t="n">
        <v>15</v>
      </c>
      <c r="V553" s="14" t="n">
        <v>25.32</v>
      </c>
      <c r="W553" s="14" t="n">
        <v>136.03</v>
      </c>
      <c r="X553" s="14" t="n">
        <v>192.37</v>
      </c>
      <c r="Y553" s="14" t="n">
        <v>56.34</v>
      </c>
      <c r="Z553" s="14" t="n">
        <v>8.32</v>
      </c>
      <c r="AA553" s="14" t="n">
        <v>0.6</v>
      </c>
      <c r="AB553" s="14" t="n">
        <v>0</v>
      </c>
      <c r="AC553" s="14" t="n">
        <v>0.54</v>
      </c>
      <c r="AD553" s="15" t="n">
        <f aca="false">H553*E553/1000</f>
        <v>0.962</v>
      </c>
      <c r="AE553" s="15" t="n">
        <f aca="false">I553*E553/1000</f>
        <v>0</v>
      </c>
      <c r="AF553" s="16" t="n">
        <f aca="false">ROUND(S553+T553+U553+V553-W553,2)</f>
        <v>0</v>
      </c>
      <c r="AG553" s="16" t="n">
        <f aca="false">ROUND(X553-W553-Y553,2)</f>
        <v>0</v>
      </c>
    </row>
    <row r="554" customFormat="false" ht="15" hidden="false" customHeight="false" outlineLevel="0" collapsed="false">
      <c r="A554" s="13" t="s">
        <v>336</v>
      </c>
      <c r="B554" s="13" t="s">
        <v>277</v>
      </c>
      <c r="C554" s="13" t="s">
        <v>241</v>
      </c>
      <c r="D554" s="13" t="s">
        <v>337</v>
      </c>
      <c r="E554" s="14" t="n">
        <v>8.35</v>
      </c>
      <c r="F554" s="14" t="n">
        <v>775</v>
      </c>
      <c r="G554" s="14" t="n">
        <v>6.47</v>
      </c>
      <c r="H554" s="14" t="n">
        <v>26</v>
      </c>
      <c r="I554" s="14"/>
      <c r="J554" s="14" t="n">
        <v>44.12</v>
      </c>
      <c r="K554" s="14" t="n">
        <v>51.68</v>
      </c>
      <c r="L554" s="14" t="n">
        <v>3.13</v>
      </c>
      <c r="M554" s="14" t="n">
        <v>29.95</v>
      </c>
      <c r="N554" s="14" t="n">
        <v>7</v>
      </c>
      <c r="O554" s="14"/>
      <c r="P554" s="14" t="n">
        <v>0.38</v>
      </c>
      <c r="Q554" s="14" t="n">
        <v>0.6</v>
      </c>
      <c r="R554" s="14" t="n">
        <v>0.5</v>
      </c>
      <c r="S554" s="14" t="n">
        <v>93.23</v>
      </c>
      <c r="T554" s="14" t="n">
        <v>0.79</v>
      </c>
      <c r="U554" s="14" t="n">
        <v>12</v>
      </c>
      <c r="V554" s="14" t="n">
        <v>28.77</v>
      </c>
      <c r="W554" s="14" t="n">
        <v>134.8</v>
      </c>
      <c r="X554" s="14" t="n">
        <v>165.9</v>
      </c>
      <c r="Y554" s="14" t="n">
        <v>31.11</v>
      </c>
      <c r="Z554" s="14" t="n">
        <v>1.78</v>
      </c>
      <c r="AA554" s="14" t="n">
        <v>0.16</v>
      </c>
      <c r="AB554" s="14" t="n">
        <v>0</v>
      </c>
      <c r="AC554" s="14" t="n">
        <v>0.07</v>
      </c>
      <c r="AD554" s="15" t="n">
        <f aca="false">H554*E554/1000</f>
        <v>0.2171</v>
      </c>
      <c r="AE554" s="15" t="n">
        <f aca="false">I554*E554/1000</f>
        <v>0</v>
      </c>
      <c r="AF554" s="16" t="n">
        <f aca="false">ROUND(S554+T554+U554+V554-W554,2)</f>
        <v>-0.01</v>
      </c>
      <c r="AG554" s="16" t="n">
        <f aca="false">ROUND(X554-W554-Y554,2)</f>
        <v>-0.01</v>
      </c>
    </row>
    <row r="555" customFormat="false" ht="15" hidden="false" customHeight="false" outlineLevel="0" collapsed="false">
      <c r="A555" s="13" t="s">
        <v>332</v>
      </c>
      <c r="B555" s="13" t="s">
        <v>277</v>
      </c>
      <c r="C555" s="13" t="s">
        <v>246</v>
      </c>
      <c r="D555" s="13" t="s">
        <v>333</v>
      </c>
      <c r="E555" s="14" t="n">
        <v>205</v>
      </c>
      <c r="F555" s="14" t="n">
        <v>74</v>
      </c>
      <c r="G555" s="14" t="n">
        <v>15.17</v>
      </c>
      <c r="H555" s="14" t="n">
        <v>1</v>
      </c>
      <c r="I555" s="14"/>
      <c r="J555" s="14" t="n">
        <v>56.77</v>
      </c>
      <c r="K555" s="14" t="n">
        <v>53.48</v>
      </c>
      <c r="L555" s="14" t="n">
        <v>2.43</v>
      </c>
      <c r="M555" s="14" t="n">
        <v>35.27</v>
      </c>
      <c r="N555" s="14" t="n">
        <v>6</v>
      </c>
      <c r="O555" s="14"/>
      <c r="P555" s="14" t="n">
        <v>0.38</v>
      </c>
      <c r="Q555" s="14" t="n">
        <v>0.6</v>
      </c>
      <c r="R555" s="14" t="n">
        <v>0.5</v>
      </c>
      <c r="S555" s="14" t="n">
        <v>98.66</v>
      </c>
      <c r="T555" s="14" t="n">
        <v>7.73</v>
      </c>
      <c r="U555" s="14" t="n">
        <v>15</v>
      </c>
      <c r="V555" s="14" t="n">
        <v>25.69</v>
      </c>
      <c r="W555" s="14" t="n">
        <v>147.08</v>
      </c>
      <c r="X555" s="14" t="n">
        <v>177.59</v>
      </c>
      <c r="Y555" s="14" t="n">
        <v>30.51</v>
      </c>
      <c r="Z555" s="14" t="n">
        <v>4.41</v>
      </c>
      <c r="AA555" s="14" t="n">
        <v>0.16</v>
      </c>
      <c r="AB555" s="14" t="n">
        <v>0</v>
      </c>
      <c r="AC555" s="14" t="n">
        <v>0.06</v>
      </c>
      <c r="AD555" s="15" t="n">
        <f aca="false">H555*E555/1000</f>
        <v>0.205</v>
      </c>
      <c r="AE555" s="15" t="n">
        <f aca="false">I555*E555/1000</f>
        <v>0</v>
      </c>
      <c r="AF555" s="16" t="n">
        <f aca="false">ROUND(S555+T555+U555+V555-W555,2)</f>
        <v>0</v>
      </c>
      <c r="AG555" s="16" t="n">
        <f aca="false">ROUND(X555-W555-Y555,2)</f>
        <v>0</v>
      </c>
    </row>
    <row r="556" customFormat="false" ht="15" hidden="false" customHeight="false" outlineLevel="0" collapsed="false">
      <c r="A556" s="13" t="s">
        <v>334</v>
      </c>
      <c r="B556" s="13" t="s">
        <v>277</v>
      </c>
      <c r="C556" s="13" t="s">
        <v>246</v>
      </c>
      <c r="D556" s="13" t="s">
        <v>335</v>
      </c>
      <c r="E556" s="14" t="n">
        <v>37</v>
      </c>
      <c r="F556" s="14" t="n">
        <v>180</v>
      </c>
      <c r="G556" s="14" t="n">
        <v>6.66</v>
      </c>
      <c r="H556" s="14" t="n">
        <v>55</v>
      </c>
      <c r="I556" s="14"/>
      <c r="J556" s="14" t="n">
        <v>53.25</v>
      </c>
      <c r="K556" s="14" t="n">
        <v>53.96</v>
      </c>
      <c r="L556" s="14" t="n">
        <v>2.59</v>
      </c>
      <c r="M556" s="14" t="n">
        <v>18.73</v>
      </c>
      <c r="N556" s="14" t="n">
        <v>6</v>
      </c>
      <c r="O556" s="14"/>
      <c r="P556" s="14" t="n">
        <v>0.38</v>
      </c>
      <c r="Q556" s="14" t="n">
        <v>0.6</v>
      </c>
      <c r="R556" s="14" t="n">
        <v>0.5</v>
      </c>
      <c r="S556" s="14" t="n">
        <v>82.77</v>
      </c>
      <c r="T556" s="14" t="n">
        <v>15.73</v>
      </c>
      <c r="U556" s="14" t="n">
        <v>15</v>
      </c>
      <c r="V556" s="14" t="n">
        <v>25.32</v>
      </c>
      <c r="W556" s="14" t="n">
        <v>138.82</v>
      </c>
      <c r="X556" s="14" t="n">
        <v>192.37</v>
      </c>
      <c r="Y556" s="14" t="n">
        <v>53.55</v>
      </c>
      <c r="Z556" s="14" t="n">
        <v>1.21</v>
      </c>
      <c r="AA556" s="14" t="n">
        <v>1.27</v>
      </c>
      <c r="AB556" s="14" t="n">
        <v>0</v>
      </c>
      <c r="AC556" s="14" t="n">
        <v>1.09</v>
      </c>
      <c r="AD556" s="15" t="n">
        <f aca="false">H556*E556/1000</f>
        <v>2.035</v>
      </c>
      <c r="AE556" s="15" t="n">
        <f aca="false">I556*E556/1000</f>
        <v>0</v>
      </c>
      <c r="AF556" s="16" t="n">
        <f aca="false">ROUND(S556+T556+U556+V556-W556,2)</f>
        <v>0</v>
      </c>
      <c r="AG556" s="16" t="n">
        <f aca="false">ROUND(X556-W556-Y556,2)</f>
        <v>0</v>
      </c>
    </row>
    <row r="557" customFormat="false" ht="15" hidden="false" customHeight="false" outlineLevel="0" collapsed="false">
      <c r="A557" s="13" t="s">
        <v>336</v>
      </c>
      <c r="B557" s="13" t="s">
        <v>277</v>
      </c>
      <c r="C557" s="13" t="s">
        <v>246</v>
      </c>
      <c r="D557" s="13" t="s">
        <v>337</v>
      </c>
      <c r="E557" s="14" t="n">
        <v>8.35</v>
      </c>
      <c r="F557" s="14" t="n">
        <v>160</v>
      </c>
      <c r="G557" s="14" t="n">
        <v>1.34</v>
      </c>
      <c r="H557" s="14"/>
      <c r="I557" s="14"/>
      <c r="J557" s="14" t="n">
        <v>44.12</v>
      </c>
      <c r="K557" s="14" t="n">
        <v>55.58</v>
      </c>
      <c r="L557" s="14" t="n">
        <v>3.13</v>
      </c>
      <c r="M557" s="14" t="n">
        <v>29.95</v>
      </c>
      <c r="N557" s="14" t="n">
        <v>6</v>
      </c>
      <c r="O557" s="14"/>
      <c r="P557" s="14" t="n">
        <v>0.38</v>
      </c>
      <c r="Q557" s="14" t="n">
        <v>0.6</v>
      </c>
      <c r="R557" s="14" t="n">
        <v>0.5</v>
      </c>
      <c r="S557" s="14" t="n">
        <v>96.13</v>
      </c>
      <c r="T557" s="14" t="n">
        <v>0.79</v>
      </c>
      <c r="U557" s="14" t="n">
        <v>12</v>
      </c>
      <c r="V557" s="14" t="n">
        <v>28.77</v>
      </c>
      <c r="W557" s="14" t="n">
        <v>137.7</v>
      </c>
      <c r="X557" s="14" t="n">
        <v>165.9</v>
      </c>
      <c r="Y557" s="14" t="n">
        <v>28.21</v>
      </c>
      <c r="Z557" s="14" t="n">
        <v>0.38</v>
      </c>
      <c r="AA557" s="14" t="n">
        <v>0</v>
      </c>
      <c r="AB557" s="14" t="n">
        <v>0</v>
      </c>
      <c r="AC557" s="14" t="n">
        <v>0</v>
      </c>
      <c r="AD557" s="15" t="n">
        <f aca="false">H557*E557/1000</f>
        <v>0</v>
      </c>
      <c r="AE557" s="15" t="n">
        <f aca="false">I557*E557/1000</f>
        <v>0</v>
      </c>
      <c r="AF557" s="16" t="n">
        <f aca="false">ROUND(S557+T557+U557+V557-W557,2)</f>
        <v>-0.01</v>
      </c>
      <c r="AG557" s="16" t="n">
        <f aca="false">ROUND(X557-W557-Y557,2)</f>
        <v>-0.01</v>
      </c>
    </row>
    <row r="558" customFormat="false" ht="15" hidden="false" customHeight="false" outlineLevel="0" collapsed="false">
      <c r="A558" s="13" t="s">
        <v>334</v>
      </c>
      <c r="B558" s="13" t="s">
        <v>291</v>
      </c>
      <c r="C558" s="13" t="s">
        <v>219</v>
      </c>
      <c r="D558" s="13" t="s">
        <v>335</v>
      </c>
      <c r="E558" s="14" t="n">
        <v>37</v>
      </c>
      <c r="F558" s="14" t="n">
        <v>425</v>
      </c>
      <c r="G558" s="14" t="n">
        <v>15.725</v>
      </c>
      <c r="H558" s="14" t="n">
        <v>63</v>
      </c>
      <c r="I558" s="14"/>
      <c r="J558" s="14" t="n">
        <v>53.25</v>
      </c>
      <c r="K558" s="14" t="n">
        <v>52.28</v>
      </c>
      <c r="L558" s="14" t="n">
        <v>2.59</v>
      </c>
      <c r="M558" s="14" t="n">
        <v>18.73</v>
      </c>
      <c r="N558" s="14" t="n">
        <v>6</v>
      </c>
      <c r="O558" s="14"/>
      <c r="P558" s="14" t="n">
        <v>0.38</v>
      </c>
      <c r="Q558" s="14" t="n">
        <v>0.6</v>
      </c>
      <c r="R558" s="14" t="n">
        <v>0.5</v>
      </c>
      <c r="S558" s="14" t="n">
        <v>81.09</v>
      </c>
      <c r="T558" s="14" t="n">
        <v>15.73</v>
      </c>
      <c r="U558" s="14" t="n">
        <v>15</v>
      </c>
      <c r="V558" s="14" t="n">
        <v>24.57</v>
      </c>
      <c r="W558" s="14" t="n">
        <v>136.39</v>
      </c>
      <c r="X558" s="14" t="n">
        <v>192.37</v>
      </c>
      <c r="Y558" s="14" t="n">
        <v>55.98</v>
      </c>
      <c r="Z558" s="14" t="n">
        <v>6.04</v>
      </c>
      <c r="AA558" s="14" t="n">
        <v>1.46</v>
      </c>
      <c r="AB558" s="14" t="n">
        <v>0</v>
      </c>
      <c r="AC558" s="14" t="n">
        <v>1.3</v>
      </c>
      <c r="AD558" s="15" t="n">
        <f aca="false">H558*E558/1000</f>
        <v>2.331</v>
      </c>
      <c r="AE558" s="15" t="n">
        <f aca="false">I558*E558/1000</f>
        <v>0</v>
      </c>
      <c r="AF558" s="16" t="n">
        <f aca="false">ROUND(S558+T558+U558+V558-W558,2)</f>
        <v>0</v>
      </c>
      <c r="AG558" s="16" t="n">
        <f aca="false">ROUND(X558-W558-Y558,2)</f>
        <v>0</v>
      </c>
    </row>
    <row r="559" customFormat="false" ht="15" hidden="false" customHeight="false" outlineLevel="0" collapsed="false">
      <c r="A559" s="13" t="s">
        <v>332</v>
      </c>
      <c r="B559" s="13" t="s">
        <v>291</v>
      </c>
      <c r="C559" s="13" t="s">
        <v>226</v>
      </c>
      <c r="D559" s="13" t="s">
        <v>333</v>
      </c>
      <c r="E559" s="14" t="n">
        <v>205</v>
      </c>
      <c r="F559" s="14" t="n">
        <v>2</v>
      </c>
      <c r="G559" s="14" t="n">
        <v>0.41</v>
      </c>
      <c r="H559" s="14"/>
      <c r="I559" s="14"/>
      <c r="J559" s="14" t="n">
        <v>56.77</v>
      </c>
      <c r="K559" s="14" t="n">
        <v>49.97</v>
      </c>
      <c r="L559" s="14" t="n">
        <v>2.38</v>
      </c>
      <c r="M559" s="14" t="n">
        <v>42.13</v>
      </c>
      <c r="N559" s="14" t="n">
        <v>5</v>
      </c>
      <c r="O559" s="14"/>
      <c r="P559" s="14" t="n">
        <v>0.38</v>
      </c>
      <c r="Q559" s="14" t="n">
        <v>0.6</v>
      </c>
      <c r="R559" s="14" t="n">
        <v>0.5</v>
      </c>
      <c r="S559" s="14" t="n">
        <v>100.95</v>
      </c>
      <c r="T559" s="14" t="n">
        <v>7.73</v>
      </c>
      <c r="U559" s="14" t="n">
        <v>15</v>
      </c>
      <c r="V559" s="14" t="n">
        <v>24.93</v>
      </c>
      <c r="W559" s="14" t="n">
        <v>148.62</v>
      </c>
      <c r="X559" s="14" t="n">
        <v>177.59</v>
      </c>
      <c r="Y559" s="14" t="n">
        <v>28.97</v>
      </c>
      <c r="Z559" s="14" t="n">
        <v>0.12</v>
      </c>
      <c r="AA559" s="14" t="n">
        <v>0</v>
      </c>
      <c r="AB559" s="14" t="n">
        <v>0</v>
      </c>
      <c r="AC559" s="14" t="n">
        <v>0</v>
      </c>
      <c r="AD559" s="15" t="n">
        <f aca="false">H559*E559/1000</f>
        <v>0</v>
      </c>
      <c r="AE559" s="15" t="n">
        <f aca="false">I559*E559/1000</f>
        <v>0</v>
      </c>
      <c r="AF559" s="16" t="n">
        <f aca="false">ROUND(S559+T559+U559+V559-W559,2)</f>
        <v>-0.01</v>
      </c>
      <c r="AG559" s="16" t="n">
        <f aca="false">ROUND(X559-W559-Y559,2)</f>
        <v>0</v>
      </c>
    </row>
    <row r="560" customFormat="false" ht="15" hidden="false" customHeight="false" outlineLevel="0" collapsed="false">
      <c r="A560" s="13" t="s">
        <v>334</v>
      </c>
      <c r="B560" s="13" t="s">
        <v>291</v>
      </c>
      <c r="C560" s="13" t="s">
        <v>226</v>
      </c>
      <c r="D560" s="13" t="s">
        <v>335</v>
      </c>
      <c r="E560" s="14" t="n">
        <v>37</v>
      </c>
      <c r="F560" s="14" t="n">
        <v>271</v>
      </c>
      <c r="G560" s="14" t="n">
        <v>10.027</v>
      </c>
      <c r="H560" s="14" t="n">
        <v>23</v>
      </c>
      <c r="I560" s="14"/>
      <c r="J560" s="14" t="n">
        <v>53.25</v>
      </c>
      <c r="K560" s="14" t="n">
        <v>50.42</v>
      </c>
      <c r="L560" s="14" t="n">
        <v>2.54</v>
      </c>
      <c r="M560" s="14" t="n">
        <v>22.12</v>
      </c>
      <c r="N560" s="14" t="n">
        <v>5</v>
      </c>
      <c r="O560" s="14"/>
      <c r="P560" s="14" t="n">
        <v>0.38</v>
      </c>
      <c r="Q560" s="14" t="n">
        <v>0.6</v>
      </c>
      <c r="R560" s="14" t="n">
        <v>0.5</v>
      </c>
      <c r="S560" s="14" t="n">
        <v>81.56</v>
      </c>
      <c r="T560" s="14" t="n">
        <v>15.73</v>
      </c>
      <c r="U560" s="14" t="n">
        <v>15</v>
      </c>
      <c r="V560" s="14" t="n">
        <v>24.57</v>
      </c>
      <c r="W560" s="14" t="n">
        <v>136.86</v>
      </c>
      <c r="X560" s="14" t="n">
        <v>192.37</v>
      </c>
      <c r="Y560" s="14" t="n">
        <v>55.51</v>
      </c>
      <c r="Z560" s="14" t="n">
        <v>4.55</v>
      </c>
      <c r="AA560" s="14" t="n">
        <v>0.55</v>
      </c>
      <c r="AB560" s="14" t="n">
        <v>0</v>
      </c>
      <c r="AC560" s="14" t="n">
        <v>0.47</v>
      </c>
      <c r="AD560" s="15" t="n">
        <f aca="false">H560*E560/1000</f>
        <v>0.851</v>
      </c>
      <c r="AE560" s="15" t="n">
        <f aca="false">I560*E560/1000</f>
        <v>0</v>
      </c>
      <c r="AF560" s="16" t="n">
        <f aca="false">ROUND(S560+T560+U560+V560-W560,2)</f>
        <v>0</v>
      </c>
      <c r="AG560" s="16" t="n">
        <f aca="false">ROUND(X560-W560-Y560,2)</f>
        <v>0</v>
      </c>
    </row>
    <row r="561" customFormat="false" ht="15" hidden="false" customHeight="false" outlineLevel="0" collapsed="false">
      <c r="A561" s="13" t="s">
        <v>332</v>
      </c>
      <c r="B561" s="13" t="s">
        <v>291</v>
      </c>
      <c r="C561" s="13" t="s">
        <v>259</v>
      </c>
      <c r="D561" s="13" t="s">
        <v>333</v>
      </c>
      <c r="E561" s="14" t="n">
        <v>205</v>
      </c>
      <c r="F561" s="14" t="n">
        <v>21</v>
      </c>
      <c r="G561" s="14" t="n">
        <v>4.305</v>
      </c>
      <c r="H561" s="14"/>
      <c r="I561" s="14"/>
      <c r="J561" s="14" t="n">
        <v>56.77</v>
      </c>
      <c r="K561" s="14" t="n">
        <v>48.81</v>
      </c>
      <c r="L561" s="14" t="n">
        <v>1.69</v>
      </c>
      <c r="M561" s="14" t="n">
        <v>40.07</v>
      </c>
      <c r="N561" s="14" t="n">
        <v>5</v>
      </c>
      <c r="O561" s="14"/>
      <c r="P561" s="14" t="n">
        <v>0.38</v>
      </c>
      <c r="Q561" s="14" t="n">
        <v>0.6</v>
      </c>
      <c r="R561" s="14" t="n">
        <v>0.5</v>
      </c>
      <c r="S561" s="14" t="n">
        <v>97.05</v>
      </c>
      <c r="T561" s="14" t="n">
        <v>7.73</v>
      </c>
      <c r="U561" s="14" t="n">
        <v>15</v>
      </c>
      <c r="V561" s="14" t="n">
        <v>24.93</v>
      </c>
      <c r="W561" s="14" t="n">
        <v>144.71</v>
      </c>
      <c r="X561" s="14" t="n">
        <v>177.59</v>
      </c>
      <c r="Y561" s="14" t="n">
        <v>32.88</v>
      </c>
      <c r="Z561" s="14" t="n">
        <v>1.42</v>
      </c>
      <c r="AA561" s="14" t="n">
        <v>0</v>
      </c>
      <c r="AB561" s="14" t="n">
        <v>0</v>
      </c>
      <c r="AC561" s="14" t="n">
        <v>0</v>
      </c>
      <c r="AD561" s="15" t="n">
        <f aca="false">H561*E561/1000</f>
        <v>0</v>
      </c>
      <c r="AE561" s="15" t="n">
        <f aca="false">I561*E561/1000</f>
        <v>0</v>
      </c>
      <c r="AF561" s="16" t="n">
        <f aca="false">ROUND(S561+T561+U561+V561-W561,2)</f>
        <v>0</v>
      </c>
      <c r="AG561" s="16" t="n">
        <f aca="false">ROUND(X561-W561-Y561,2)</f>
        <v>0</v>
      </c>
    </row>
    <row r="562" customFormat="false" ht="15" hidden="false" customHeight="false" outlineLevel="0" collapsed="false">
      <c r="A562" s="13" t="s">
        <v>334</v>
      </c>
      <c r="B562" s="13" t="s">
        <v>291</v>
      </c>
      <c r="C562" s="13" t="s">
        <v>259</v>
      </c>
      <c r="D562" s="13" t="s">
        <v>335</v>
      </c>
      <c r="E562" s="14" t="n">
        <v>37</v>
      </c>
      <c r="F562" s="14" t="n">
        <v>1017</v>
      </c>
      <c r="G562" s="14" t="n">
        <v>37.629</v>
      </c>
      <c r="H562" s="14" t="n">
        <v>34</v>
      </c>
      <c r="I562" s="14"/>
      <c r="J562" s="14" t="n">
        <v>53.25</v>
      </c>
      <c r="K562" s="14" t="n">
        <v>49.25</v>
      </c>
      <c r="L562" s="14" t="n">
        <v>1.8</v>
      </c>
      <c r="M562" s="14" t="n">
        <v>21.1</v>
      </c>
      <c r="N562" s="14" t="n">
        <v>5</v>
      </c>
      <c r="O562" s="14"/>
      <c r="P562" s="14" t="n">
        <v>0.38</v>
      </c>
      <c r="Q562" s="14" t="n">
        <v>0.6</v>
      </c>
      <c r="R562" s="14" t="n">
        <v>0.5</v>
      </c>
      <c r="S562" s="14" t="n">
        <v>78.64</v>
      </c>
      <c r="T562" s="14" t="n">
        <v>15.73</v>
      </c>
      <c r="U562" s="14" t="n">
        <v>15</v>
      </c>
      <c r="V562" s="14" t="n">
        <v>24.57</v>
      </c>
      <c r="W562" s="14" t="n">
        <v>133.94</v>
      </c>
      <c r="X562" s="14" t="n">
        <v>192.37</v>
      </c>
      <c r="Y562" s="14" t="n">
        <v>58.43</v>
      </c>
      <c r="Z562" s="14" t="n">
        <v>20.47</v>
      </c>
      <c r="AA562" s="14" t="n">
        <v>0.78</v>
      </c>
      <c r="AB562" s="14" t="n">
        <v>0</v>
      </c>
      <c r="AC562" s="14" t="n">
        <v>0.74</v>
      </c>
      <c r="AD562" s="15" t="n">
        <f aca="false">H562*E562/1000</f>
        <v>1.258</v>
      </c>
      <c r="AE562" s="15" t="n">
        <f aca="false">I562*E562/1000</f>
        <v>0</v>
      </c>
      <c r="AF562" s="16" t="n">
        <f aca="false">ROUND(S562+T562+U562+V562-W562,2)</f>
        <v>0</v>
      </c>
      <c r="AG562" s="16" t="n">
        <f aca="false">ROUND(X562-W562-Y562,2)</f>
        <v>0</v>
      </c>
    </row>
    <row r="563" customFormat="false" ht="15" hidden="false" customHeight="false" outlineLevel="0" collapsed="false">
      <c r="A563" s="13" t="s">
        <v>332</v>
      </c>
      <c r="B563" s="13" t="s">
        <v>291</v>
      </c>
      <c r="C563" s="13" t="s">
        <v>263</v>
      </c>
      <c r="D563" s="13" t="s">
        <v>333</v>
      </c>
      <c r="E563" s="14" t="n">
        <v>205</v>
      </c>
      <c r="F563" s="14" t="n">
        <v>21</v>
      </c>
      <c r="G563" s="14" t="n">
        <v>4.305</v>
      </c>
      <c r="H563" s="14"/>
      <c r="I563" s="14"/>
      <c r="J563" s="14" t="n">
        <v>56.77</v>
      </c>
      <c r="K563" s="14" t="n">
        <v>48.55</v>
      </c>
      <c r="L563" s="14" t="n">
        <v>1.69</v>
      </c>
      <c r="M563" s="14" t="n">
        <v>40.07</v>
      </c>
      <c r="N563" s="14" t="n">
        <v>5</v>
      </c>
      <c r="O563" s="14"/>
      <c r="P563" s="14" t="n">
        <v>0.38</v>
      </c>
      <c r="Q563" s="14" t="n">
        <v>0.6</v>
      </c>
      <c r="R563" s="14" t="n">
        <v>0.5</v>
      </c>
      <c r="S563" s="14" t="n">
        <v>96.79</v>
      </c>
      <c r="T563" s="14" t="n">
        <v>7.73</v>
      </c>
      <c r="U563" s="14" t="n">
        <v>15</v>
      </c>
      <c r="V563" s="14" t="n">
        <v>24.93</v>
      </c>
      <c r="W563" s="14" t="n">
        <v>144.45</v>
      </c>
      <c r="X563" s="14" t="n">
        <v>177.59</v>
      </c>
      <c r="Y563" s="14" t="n">
        <v>33.14</v>
      </c>
      <c r="Z563" s="14" t="n">
        <v>1.43</v>
      </c>
      <c r="AA563" s="14" t="n">
        <v>0</v>
      </c>
      <c r="AB563" s="14" t="n">
        <v>0</v>
      </c>
      <c r="AC563" s="14" t="n">
        <v>0</v>
      </c>
      <c r="AD563" s="15" t="n">
        <f aca="false">H563*E563/1000</f>
        <v>0</v>
      </c>
      <c r="AE563" s="15" t="n">
        <f aca="false">I563*E563/1000</f>
        <v>0</v>
      </c>
      <c r="AF563" s="16" t="n">
        <f aca="false">ROUND(S563+T563+U563+V563-W563,2)</f>
        <v>0</v>
      </c>
      <c r="AG563" s="16" t="n">
        <f aca="false">ROUND(X563-W563-Y563,2)</f>
        <v>0</v>
      </c>
    </row>
    <row r="564" customFormat="false" ht="15" hidden="false" customHeight="false" outlineLevel="0" collapsed="false">
      <c r="A564" s="13" t="s">
        <v>334</v>
      </c>
      <c r="B564" s="13" t="s">
        <v>291</v>
      </c>
      <c r="C564" s="13" t="s">
        <v>263</v>
      </c>
      <c r="D564" s="13" t="s">
        <v>335</v>
      </c>
      <c r="E564" s="14" t="n">
        <v>37</v>
      </c>
      <c r="F564" s="14" t="n">
        <v>436</v>
      </c>
      <c r="G564" s="14" t="n">
        <v>16.132</v>
      </c>
      <c r="H564" s="14" t="n">
        <v>111</v>
      </c>
      <c r="I564" s="14"/>
      <c r="J564" s="14" t="n">
        <v>53.25</v>
      </c>
      <c r="K564" s="14" t="n">
        <v>48.99</v>
      </c>
      <c r="L564" s="14" t="n">
        <v>1.8</v>
      </c>
      <c r="M564" s="14" t="n">
        <v>21.1</v>
      </c>
      <c r="N564" s="14" t="n">
        <v>5</v>
      </c>
      <c r="O564" s="14"/>
      <c r="P564" s="14" t="n">
        <v>0.38</v>
      </c>
      <c r="Q564" s="14" t="n">
        <v>0.6</v>
      </c>
      <c r="R564" s="14" t="n">
        <v>0.5</v>
      </c>
      <c r="S564" s="14" t="n">
        <v>78.38</v>
      </c>
      <c r="T564" s="14" t="n">
        <v>15.73</v>
      </c>
      <c r="U564" s="14" t="n">
        <v>15</v>
      </c>
      <c r="V564" s="14" t="n">
        <v>24.57</v>
      </c>
      <c r="W564" s="14" t="n">
        <v>133.68</v>
      </c>
      <c r="X564" s="14" t="n">
        <v>192.37</v>
      </c>
      <c r="Y564" s="14" t="n">
        <v>58.69</v>
      </c>
      <c r="Z564" s="14" t="n">
        <v>4.51</v>
      </c>
      <c r="AA564" s="14" t="n">
        <v>2.55</v>
      </c>
      <c r="AB564" s="14" t="n">
        <v>0</v>
      </c>
      <c r="AC564" s="14" t="n">
        <v>2.41</v>
      </c>
      <c r="AD564" s="15" t="n">
        <f aca="false">H564*E564/1000</f>
        <v>4.107</v>
      </c>
      <c r="AE564" s="15" t="n">
        <f aca="false">I564*E564/1000</f>
        <v>0</v>
      </c>
      <c r="AF564" s="16" t="n">
        <f aca="false">ROUND(S564+T564+U564+V564-W564,2)</f>
        <v>0</v>
      </c>
      <c r="AG564" s="16" t="n">
        <f aca="false">ROUND(X564-W564-Y564,2)</f>
        <v>0</v>
      </c>
    </row>
    <row r="565" customFormat="false" ht="15" hidden="false" customHeight="false" outlineLevel="0" collapsed="false">
      <c r="A565" s="13" t="s">
        <v>332</v>
      </c>
      <c r="B565" s="13" t="s">
        <v>291</v>
      </c>
      <c r="C565" s="13" t="s">
        <v>229</v>
      </c>
      <c r="D565" s="13" t="s">
        <v>333</v>
      </c>
      <c r="E565" s="14" t="n">
        <v>205</v>
      </c>
      <c r="F565" s="14" t="n">
        <v>34</v>
      </c>
      <c r="G565" s="14" t="n">
        <v>6.97</v>
      </c>
      <c r="H565" s="14" t="n">
        <v>2</v>
      </c>
      <c r="I565" s="14"/>
      <c r="J565" s="14" t="n">
        <v>56.77</v>
      </c>
      <c r="K565" s="14" t="n">
        <v>48.33</v>
      </c>
      <c r="L565" s="14" t="n">
        <v>1.69</v>
      </c>
      <c r="M565" s="14" t="n">
        <v>36.07</v>
      </c>
      <c r="N565" s="14" t="n">
        <v>5</v>
      </c>
      <c r="O565" s="14"/>
      <c r="P565" s="14" t="n">
        <v>0.38</v>
      </c>
      <c r="Q565" s="14" t="n">
        <v>0.6</v>
      </c>
      <c r="R565" s="14" t="n">
        <v>0.5</v>
      </c>
      <c r="S565" s="14" t="n">
        <v>92.58</v>
      </c>
      <c r="T565" s="14" t="n">
        <v>7.73</v>
      </c>
      <c r="U565" s="14" t="n">
        <v>15</v>
      </c>
      <c r="V565" s="14" t="n">
        <v>26</v>
      </c>
      <c r="W565" s="14" t="n">
        <v>141.3</v>
      </c>
      <c r="X565" s="14" t="n">
        <v>177.59</v>
      </c>
      <c r="Y565" s="14" t="n">
        <v>36.29</v>
      </c>
      <c r="Z565" s="14" t="n">
        <v>2.06</v>
      </c>
      <c r="AA565" s="14" t="n">
        <v>0.32</v>
      </c>
      <c r="AB565" s="14" t="n">
        <v>0</v>
      </c>
      <c r="AC565" s="14" t="n">
        <v>0.15</v>
      </c>
      <c r="AD565" s="15" t="n">
        <f aca="false">H565*E565/1000</f>
        <v>0.41</v>
      </c>
      <c r="AE565" s="15" t="n">
        <f aca="false">I565*E565/1000</f>
        <v>0</v>
      </c>
      <c r="AF565" s="16" t="n">
        <f aca="false">ROUND(S565+T565+U565+V565-W565,2)</f>
        <v>0.01</v>
      </c>
      <c r="AG565" s="16" t="n">
        <f aca="false">ROUND(X565-W565-Y565,2)</f>
        <v>0</v>
      </c>
    </row>
    <row r="566" customFormat="false" ht="15" hidden="false" customHeight="false" outlineLevel="0" collapsed="false">
      <c r="A566" s="13" t="s">
        <v>334</v>
      </c>
      <c r="B566" s="13" t="s">
        <v>291</v>
      </c>
      <c r="C566" s="13" t="s">
        <v>229</v>
      </c>
      <c r="D566" s="13" t="s">
        <v>335</v>
      </c>
      <c r="E566" s="14" t="n">
        <v>37</v>
      </c>
      <c r="F566" s="14" t="n">
        <v>923</v>
      </c>
      <c r="G566" s="14" t="n">
        <v>34.151</v>
      </c>
      <c r="H566" s="14" t="n">
        <v>45</v>
      </c>
      <c r="I566" s="14"/>
      <c r="J566" s="14" t="n">
        <v>53.25</v>
      </c>
      <c r="K566" s="14" t="n">
        <v>48.77</v>
      </c>
      <c r="L566" s="14" t="n">
        <v>1.8</v>
      </c>
      <c r="M566" s="14" t="n">
        <v>19.13</v>
      </c>
      <c r="N566" s="14" t="n">
        <v>5</v>
      </c>
      <c r="O566" s="14"/>
      <c r="P566" s="14" t="n">
        <v>0.38</v>
      </c>
      <c r="Q566" s="14" t="n">
        <v>0.6</v>
      </c>
      <c r="R566" s="14" t="n">
        <v>0.5</v>
      </c>
      <c r="S566" s="14" t="n">
        <v>76.18</v>
      </c>
      <c r="T566" s="14" t="n">
        <v>15.73</v>
      </c>
      <c r="U566" s="14" t="n">
        <v>15</v>
      </c>
      <c r="V566" s="14" t="n">
        <v>25.62</v>
      </c>
      <c r="W566" s="14" t="n">
        <v>132.53</v>
      </c>
      <c r="X566" s="14" t="n">
        <v>192.37</v>
      </c>
      <c r="Y566" s="14" t="n">
        <v>59.84</v>
      </c>
      <c r="Z566" s="14" t="n">
        <v>18.42</v>
      </c>
      <c r="AA566" s="14" t="n">
        <v>1.01</v>
      </c>
      <c r="AB566" s="14" t="n">
        <v>0</v>
      </c>
      <c r="AC566" s="14" t="n">
        <v>1</v>
      </c>
      <c r="AD566" s="15" t="n">
        <f aca="false">H566*E566/1000</f>
        <v>1.665</v>
      </c>
      <c r="AE566" s="15" t="n">
        <f aca="false">I566*E566/1000</f>
        <v>0</v>
      </c>
      <c r="AF566" s="16" t="n">
        <f aca="false">ROUND(S566+T566+U566+V566-W566,2)</f>
        <v>0</v>
      </c>
      <c r="AG566" s="16" t="n">
        <f aca="false">ROUND(X566-W566-Y566,2)</f>
        <v>0</v>
      </c>
    </row>
    <row r="567" customFormat="false" ht="15" hidden="false" customHeight="false" outlineLevel="0" collapsed="false">
      <c r="A567" s="13" t="s">
        <v>332</v>
      </c>
      <c r="B567" s="13" t="s">
        <v>291</v>
      </c>
      <c r="C567" s="13" t="s">
        <v>234</v>
      </c>
      <c r="D567" s="13" t="s">
        <v>333</v>
      </c>
      <c r="E567" s="14" t="n">
        <v>205</v>
      </c>
      <c r="F567" s="14" t="n">
        <v>32</v>
      </c>
      <c r="G567" s="14" t="n">
        <v>6.56</v>
      </c>
      <c r="H567" s="14"/>
      <c r="I567" s="14"/>
      <c r="J567" s="14" t="n">
        <v>56.77</v>
      </c>
      <c r="K567" s="14" t="n">
        <v>48.06</v>
      </c>
      <c r="L567" s="14" t="n">
        <v>1.69</v>
      </c>
      <c r="M567" s="14" t="n">
        <v>39.4</v>
      </c>
      <c r="N567" s="14" t="n">
        <v>5</v>
      </c>
      <c r="O567" s="14"/>
      <c r="P567" s="14" t="n">
        <v>0.38</v>
      </c>
      <c r="Q567" s="14" t="n">
        <v>0.6</v>
      </c>
      <c r="R567" s="14" t="n">
        <v>0.5</v>
      </c>
      <c r="S567" s="14" t="n">
        <v>95.63</v>
      </c>
      <c r="T567" s="14" t="n">
        <v>7.73</v>
      </c>
      <c r="U567" s="14" t="n">
        <v>15</v>
      </c>
      <c r="V567" s="14" t="n">
        <v>26</v>
      </c>
      <c r="W567" s="14" t="n">
        <v>144.35</v>
      </c>
      <c r="X567" s="14" t="n">
        <v>177.59</v>
      </c>
      <c r="Y567" s="14" t="n">
        <v>33.24</v>
      </c>
      <c r="Z567" s="14" t="n">
        <v>2.18</v>
      </c>
      <c r="AA567" s="14" t="n">
        <v>0</v>
      </c>
      <c r="AB567" s="14" t="n">
        <v>0</v>
      </c>
      <c r="AC567" s="14" t="n">
        <v>0</v>
      </c>
      <c r="AD567" s="15" t="n">
        <f aca="false">H567*E567/1000</f>
        <v>0</v>
      </c>
      <c r="AE567" s="15" t="n">
        <f aca="false">I567*E567/1000</f>
        <v>0</v>
      </c>
      <c r="AF567" s="16" t="n">
        <f aca="false">ROUND(S567+T567+U567+V567-W567,2)</f>
        <v>0.01</v>
      </c>
      <c r="AG567" s="16" t="n">
        <f aca="false">ROUND(X567-W567-Y567,2)</f>
        <v>0</v>
      </c>
    </row>
    <row r="568" customFormat="false" ht="15" hidden="false" customHeight="false" outlineLevel="0" collapsed="false">
      <c r="A568" s="13" t="s">
        <v>334</v>
      </c>
      <c r="B568" s="13" t="s">
        <v>291</v>
      </c>
      <c r="C568" s="13" t="s">
        <v>234</v>
      </c>
      <c r="D568" s="13" t="s">
        <v>335</v>
      </c>
      <c r="E568" s="14" t="n">
        <v>37</v>
      </c>
      <c r="F568" s="14" t="n">
        <v>664</v>
      </c>
      <c r="G568" s="14" t="n">
        <v>24.568</v>
      </c>
      <c r="H568" s="14"/>
      <c r="I568" s="14"/>
      <c r="J568" s="14" t="n">
        <v>53.25</v>
      </c>
      <c r="K568" s="14" t="n">
        <v>48.49</v>
      </c>
      <c r="L568" s="14" t="n">
        <v>1.8</v>
      </c>
      <c r="M568" s="14" t="n">
        <v>20.77</v>
      </c>
      <c r="N568" s="14" t="n">
        <v>5</v>
      </c>
      <c r="O568" s="14"/>
      <c r="P568" s="14" t="n">
        <v>0.38</v>
      </c>
      <c r="Q568" s="14" t="n">
        <v>0.6</v>
      </c>
      <c r="R568" s="14" t="n">
        <v>0.5</v>
      </c>
      <c r="S568" s="14" t="n">
        <v>77.55</v>
      </c>
      <c r="T568" s="14" t="n">
        <v>15.73</v>
      </c>
      <c r="U568" s="14" t="n">
        <v>15</v>
      </c>
      <c r="V568" s="14" t="n">
        <v>25.62</v>
      </c>
      <c r="W568" s="14" t="n">
        <v>133.9</v>
      </c>
      <c r="X568" s="14" t="n">
        <v>192.37</v>
      </c>
      <c r="Y568" s="14" t="n">
        <v>58.47</v>
      </c>
      <c r="Z568" s="14" t="n">
        <v>14.37</v>
      </c>
      <c r="AA568" s="14" t="n">
        <v>0</v>
      </c>
      <c r="AB568" s="14" t="n">
        <v>0</v>
      </c>
      <c r="AC568" s="14" t="n">
        <v>0</v>
      </c>
      <c r="AD568" s="15" t="n">
        <f aca="false">H568*E568/1000</f>
        <v>0</v>
      </c>
      <c r="AE568" s="15" t="n">
        <f aca="false">I568*E568/1000</f>
        <v>0</v>
      </c>
      <c r="AF568" s="16" t="n">
        <f aca="false">ROUND(S568+T568+U568+V568-W568,2)</f>
        <v>0</v>
      </c>
      <c r="AG568" s="16" t="n">
        <f aca="false">ROUND(X568-W568-Y568,2)</f>
        <v>0</v>
      </c>
    </row>
    <row r="569" customFormat="false" ht="15" hidden="false" customHeight="false" outlineLevel="0" collapsed="false">
      <c r="A569" s="13" t="s">
        <v>332</v>
      </c>
      <c r="B569" s="13" t="s">
        <v>291</v>
      </c>
      <c r="C569" s="13" t="s">
        <v>268</v>
      </c>
      <c r="D569" s="13" t="s">
        <v>333</v>
      </c>
      <c r="E569" s="14" t="n">
        <v>205</v>
      </c>
      <c r="F569" s="14" t="n">
        <v>32</v>
      </c>
      <c r="G569" s="14" t="n">
        <v>6.56</v>
      </c>
      <c r="H569" s="14"/>
      <c r="I569" s="14"/>
      <c r="J569" s="14" t="n">
        <v>56.77</v>
      </c>
      <c r="K569" s="14" t="n">
        <v>48.43</v>
      </c>
      <c r="L569" s="14" t="n">
        <v>1.69</v>
      </c>
      <c r="M569" s="14" t="n">
        <v>34.41</v>
      </c>
      <c r="N569" s="14" t="n">
        <v>4.2</v>
      </c>
      <c r="O569" s="14"/>
      <c r="P569" s="14" t="n">
        <v>0.38</v>
      </c>
      <c r="Q569" s="14" t="n">
        <v>0.6</v>
      </c>
      <c r="R569" s="14" t="n">
        <v>0.5</v>
      </c>
      <c r="S569" s="14" t="n">
        <v>90.2</v>
      </c>
      <c r="T569" s="14" t="n">
        <v>7.73</v>
      </c>
      <c r="U569" s="14" t="n">
        <v>15</v>
      </c>
      <c r="V569" s="14" t="n">
        <v>25.4</v>
      </c>
      <c r="W569" s="14" t="n">
        <v>138.33</v>
      </c>
      <c r="X569" s="14" t="n">
        <v>177.59</v>
      </c>
      <c r="Y569" s="14" t="n">
        <v>39.26</v>
      </c>
      <c r="Z569" s="14" t="n">
        <v>2.58</v>
      </c>
      <c r="AA569" s="14" t="n">
        <v>0</v>
      </c>
      <c r="AB569" s="14" t="n">
        <v>0</v>
      </c>
      <c r="AC569" s="14" t="n">
        <v>0</v>
      </c>
      <c r="AD569" s="15" t="n">
        <f aca="false">H569*E569/1000</f>
        <v>0</v>
      </c>
      <c r="AE569" s="15" t="n">
        <f aca="false">I569*E569/1000</f>
        <v>0</v>
      </c>
      <c r="AF569" s="16" t="n">
        <f aca="false">ROUND(S569+T569+U569+V569-W569,2)</f>
        <v>0</v>
      </c>
      <c r="AG569" s="16" t="n">
        <f aca="false">ROUND(X569-W569-Y569,2)</f>
        <v>0</v>
      </c>
    </row>
    <row r="570" customFormat="false" ht="15" hidden="false" customHeight="false" outlineLevel="0" collapsed="false">
      <c r="A570" s="13" t="s">
        <v>334</v>
      </c>
      <c r="B570" s="13" t="s">
        <v>291</v>
      </c>
      <c r="C570" s="13" t="s">
        <v>268</v>
      </c>
      <c r="D570" s="13" t="s">
        <v>335</v>
      </c>
      <c r="E570" s="14" t="n">
        <v>37</v>
      </c>
      <c r="F570" s="14" t="n">
        <v>244</v>
      </c>
      <c r="G570" s="14" t="n">
        <v>9.028</v>
      </c>
      <c r="H570" s="14" t="n">
        <v>7</v>
      </c>
      <c r="I570" s="14"/>
      <c r="J570" s="14" t="n">
        <v>53.25</v>
      </c>
      <c r="K570" s="14" t="n">
        <v>48.87</v>
      </c>
      <c r="L570" s="14" t="n">
        <v>1.8</v>
      </c>
      <c r="M570" s="14" t="n">
        <v>18.31</v>
      </c>
      <c r="N570" s="14" t="n">
        <v>4.2</v>
      </c>
      <c r="O570" s="14"/>
      <c r="P570" s="14" t="n">
        <v>0.38</v>
      </c>
      <c r="Q570" s="14" t="n">
        <v>0.6</v>
      </c>
      <c r="R570" s="14" t="n">
        <v>0.5</v>
      </c>
      <c r="S570" s="14" t="n">
        <v>74.65</v>
      </c>
      <c r="T570" s="14" t="n">
        <v>15.73</v>
      </c>
      <c r="U570" s="14" t="n">
        <v>15</v>
      </c>
      <c r="V570" s="14" t="n">
        <v>24.96</v>
      </c>
      <c r="W570" s="14" t="n">
        <v>130.35</v>
      </c>
      <c r="X570" s="14" t="n">
        <v>192.37</v>
      </c>
      <c r="Y570" s="14" t="n">
        <v>62.02</v>
      </c>
      <c r="Z570" s="14" t="n">
        <v>5.29</v>
      </c>
      <c r="AA570" s="14" t="n">
        <v>0.15</v>
      </c>
      <c r="AB570" s="14" t="n">
        <v>0</v>
      </c>
      <c r="AC570" s="14" t="n">
        <v>0.16</v>
      </c>
      <c r="AD570" s="15" t="n">
        <f aca="false">H570*E570/1000</f>
        <v>0.259</v>
      </c>
      <c r="AE570" s="15" t="n">
        <f aca="false">I570*E570/1000</f>
        <v>0</v>
      </c>
      <c r="AF570" s="16" t="n">
        <f aca="false">ROUND(S570+T570+U570+V570-W570,2)</f>
        <v>-0.01</v>
      </c>
      <c r="AG570" s="16" t="n">
        <f aca="false">ROUND(X570-W570-Y570,2)</f>
        <v>0</v>
      </c>
    </row>
    <row r="571" customFormat="false" ht="15" hidden="false" customHeight="false" outlineLevel="0" collapsed="false">
      <c r="A571" s="13" t="s">
        <v>334</v>
      </c>
      <c r="B571" s="13" t="s">
        <v>291</v>
      </c>
      <c r="C571" s="13" t="s">
        <v>269</v>
      </c>
      <c r="D571" s="13" t="s">
        <v>335</v>
      </c>
      <c r="E571" s="14" t="n">
        <v>37</v>
      </c>
      <c r="F571" s="14" t="n">
        <v>853</v>
      </c>
      <c r="G571" s="14" t="n">
        <v>31.561</v>
      </c>
      <c r="H571" s="14" t="n">
        <v>21</v>
      </c>
      <c r="I571" s="14"/>
      <c r="J571" s="14" t="n">
        <v>53.25</v>
      </c>
      <c r="K571" s="14" t="n">
        <v>47.16</v>
      </c>
      <c r="L571" s="14" t="n">
        <v>1.8</v>
      </c>
      <c r="M571" s="14" t="n">
        <v>21.1</v>
      </c>
      <c r="N571" s="14" t="n">
        <v>7</v>
      </c>
      <c r="O571" s="14"/>
      <c r="P571" s="14" t="n">
        <v>0.38</v>
      </c>
      <c r="Q571" s="14" t="n">
        <v>0.6</v>
      </c>
      <c r="R571" s="14" t="n">
        <v>0.5</v>
      </c>
      <c r="S571" s="14" t="n">
        <v>78.54</v>
      </c>
      <c r="T571" s="14" t="n">
        <v>15.73</v>
      </c>
      <c r="U571" s="14" t="n">
        <v>15</v>
      </c>
      <c r="V571" s="14" t="n">
        <v>24.96</v>
      </c>
      <c r="W571" s="14" t="n">
        <v>134.24</v>
      </c>
      <c r="X571" s="14" t="n">
        <v>192.37</v>
      </c>
      <c r="Y571" s="14" t="n">
        <v>58.13</v>
      </c>
      <c r="Z571" s="14" t="n">
        <v>17.41</v>
      </c>
      <c r="AA571" s="14" t="n">
        <v>0.49</v>
      </c>
      <c r="AB571" s="14" t="n">
        <v>0</v>
      </c>
      <c r="AC571" s="14" t="n">
        <v>0.45</v>
      </c>
      <c r="AD571" s="15" t="n">
        <f aca="false">H571*E571/1000</f>
        <v>0.777</v>
      </c>
      <c r="AE571" s="15" t="n">
        <f aca="false">I571*E571/1000</f>
        <v>0</v>
      </c>
      <c r="AF571" s="16" t="n">
        <f aca="false">ROUND(S571+T571+U571+V571-W571,2)</f>
        <v>-0.01</v>
      </c>
      <c r="AG571" s="16" t="n">
        <f aca="false">ROUND(X571-W571-Y571,2)</f>
        <v>0</v>
      </c>
    </row>
    <row r="572" customFormat="false" ht="15" hidden="false" customHeight="false" outlineLevel="0" collapsed="false">
      <c r="A572" s="13" t="s">
        <v>332</v>
      </c>
      <c r="B572" s="13" t="s">
        <v>291</v>
      </c>
      <c r="C572" s="13" t="s">
        <v>235</v>
      </c>
      <c r="D572" s="13" t="s">
        <v>333</v>
      </c>
      <c r="E572" s="14" t="n">
        <v>205</v>
      </c>
      <c r="F572" s="14" t="n">
        <v>1</v>
      </c>
      <c r="G572" s="14" t="n">
        <v>0.205</v>
      </c>
      <c r="H572" s="14"/>
      <c r="I572" s="14"/>
      <c r="J572" s="14" t="n">
        <v>56.77</v>
      </c>
      <c r="K572" s="14" t="n">
        <v>46.84</v>
      </c>
      <c r="L572" s="14" t="n">
        <v>1.69</v>
      </c>
      <c r="M572" s="14" t="n">
        <v>40.07</v>
      </c>
      <c r="N572" s="14" t="n">
        <v>4.2</v>
      </c>
      <c r="O572" s="14"/>
      <c r="P572" s="14" t="n">
        <v>0.38</v>
      </c>
      <c r="Q572" s="14" t="n">
        <v>0.6</v>
      </c>
      <c r="R572" s="14" t="n">
        <v>0.5</v>
      </c>
      <c r="S572" s="14" t="n">
        <v>94.28</v>
      </c>
      <c r="T572" s="14" t="n">
        <v>7.73</v>
      </c>
      <c r="U572" s="14" t="n">
        <v>15</v>
      </c>
      <c r="V572" s="14" t="n">
        <v>25.4</v>
      </c>
      <c r="W572" s="14" t="n">
        <v>142.4</v>
      </c>
      <c r="X572" s="14" t="n">
        <v>177.59</v>
      </c>
      <c r="Y572" s="14" t="n">
        <v>35.19</v>
      </c>
      <c r="Z572" s="14" t="n">
        <v>0.07</v>
      </c>
      <c r="AA572" s="14" t="n">
        <v>0</v>
      </c>
      <c r="AB572" s="14" t="n">
        <v>0</v>
      </c>
      <c r="AC572" s="14" t="n">
        <v>0</v>
      </c>
      <c r="AD572" s="15" t="n">
        <f aca="false">H572*E572/1000</f>
        <v>0</v>
      </c>
      <c r="AE572" s="15" t="n">
        <f aca="false">I572*E572/1000</f>
        <v>0</v>
      </c>
      <c r="AF572" s="16" t="n">
        <f aca="false">ROUND(S572+T572+U572+V572-W572,2)</f>
        <v>0.01</v>
      </c>
      <c r="AG572" s="16" t="n">
        <f aca="false">ROUND(X572-W572-Y572,2)</f>
        <v>0</v>
      </c>
    </row>
    <row r="573" customFormat="false" ht="15" hidden="false" customHeight="false" outlineLevel="0" collapsed="false">
      <c r="A573" s="13" t="s">
        <v>334</v>
      </c>
      <c r="B573" s="13" t="s">
        <v>291</v>
      </c>
      <c r="C573" s="13" t="s">
        <v>235</v>
      </c>
      <c r="D573" s="13" t="s">
        <v>335</v>
      </c>
      <c r="E573" s="14" t="n">
        <v>37</v>
      </c>
      <c r="F573" s="14" t="n">
        <v>258</v>
      </c>
      <c r="G573" s="14" t="n">
        <v>9.546</v>
      </c>
      <c r="H573" s="14" t="n">
        <v>28</v>
      </c>
      <c r="I573" s="14"/>
      <c r="J573" s="14" t="n">
        <v>53.25</v>
      </c>
      <c r="K573" s="14" t="n">
        <v>47.26</v>
      </c>
      <c r="L573" s="14" t="n">
        <v>1.8</v>
      </c>
      <c r="M573" s="14" t="n">
        <v>21.73</v>
      </c>
      <c r="N573" s="14" t="n">
        <v>7</v>
      </c>
      <c r="O573" s="14"/>
      <c r="P573" s="14" t="n">
        <v>0.38</v>
      </c>
      <c r="Q573" s="14" t="n">
        <v>0.6</v>
      </c>
      <c r="R573" s="14" t="n">
        <v>0.5</v>
      </c>
      <c r="S573" s="14" t="n">
        <v>79.28</v>
      </c>
      <c r="T573" s="14" t="n">
        <v>15.73</v>
      </c>
      <c r="U573" s="14" t="n">
        <v>15</v>
      </c>
      <c r="V573" s="14" t="n">
        <v>24.96</v>
      </c>
      <c r="W573" s="14" t="n">
        <v>134.97</v>
      </c>
      <c r="X573" s="14" t="n">
        <v>192.37</v>
      </c>
      <c r="Y573" s="14" t="n">
        <v>57.4</v>
      </c>
      <c r="Z573" s="14" t="n">
        <v>4.22</v>
      </c>
      <c r="AA573" s="14" t="n">
        <v>0.66</v>
      </c>
      <c r="AB573" s="14" t="n">
        <v>0</v>
      </c>
      <c r="AC573" s="14" t="n">
        <v>0.59</v>
      </c>
      <c r="AD573" s="15" t="n">
        <f aca="false">H573*E573/1000</f>
        <v>1.036</v>
      </c>
      <c r="AE573" s="15" t="n">
        <f aca="false">I573*E573/1000</f>
        <v>0</v>
      </c>
      <c r="AF573" s="16" t="n">
        <f aca="false">ROUND(S573+T573+U573+V573-W573,2)</f>
        <v>0</v>
      </c>
      <c r="AG573" s="16" t="n">
        <f aca="false">ROUND(X573-W573-Y573,2)</f>
        <v>0</v>
      </c>
    </row>
    <row r="574" customFormat="false" ht="15" hidden="false" customHeight="false" outlineLevel="0" collapsed="false">
      <c r="A574" s="13" t="s">
        <v>332</v>
      </c>
      <c r="B574" s="13" t="s">
        <v>291</v>
      </c>
      <c r="C574" s="13" t="s">
        <v>240</v>
      </c>
      <c r="D574" s="13" t="s">
        <v>333</v>
      </c>
      <c r="E574" s="14" t="n">
        <v>205</v>
      </c>
      <c r="F574" s="14" t="n">
        <v>3</v>
      </c>
      <c r="G574" s="14" t="n">
        <v>0.615</v>
      </c>
      <c r="H574" s="14"/>
      <c r="I574" s="14"/>
      <c r="J574" s="14" t="n">
        <v>56.77</v>
      </c>
      <c r="K574" s="14" t="n">
        <v>50.71</v>
      </c>
      <c r="L574" s="14" t="n">
        <v>1.69</v>
      </c>
      <c r="M574" s="14" t="n">
        <v>40.07</v>
      </c>
      <c r="N574" s="14" t="n">
        <v>4.2</v>
      </c>
      <c r="O574" s="14"/>
      <c r="P574" s="14" t="n">
        <v>0.38</v>
      </c>
      <c r="Q574" s="14" t="n">
        <v>0.6</v>
      </c>
      <c r="R574" s="14" t="n">
        <v>0.5</v>
      </c>
      <c r="S574" s="14" t="n">
        <v>98.15</v>
      </c>
      <c r="T574" s="14" t="n">
        <v>7.73</v>
      </c>
      <c r="U574" s="14" t="n">
        <v>15</v>
      </c>
      <c r="V574" s="14" t="n">
        <v>25.4</v>
      </c>
      <c r="W574" s="14" t="n">
        <v>146.27</v>
      </c>
      <c r="X574" s="14" t="n">
        <v>177.59</v>
      </c>
      <c r="Y574" s="14" t="n">
        <v>31.32</v>
      </c>
      <c r="Z574" s="14" t="n">
        <v>0.19</v>
      </c>
      <c r="AA574" s="14" t="n">
        <v>0</v>
      </c>
      <c r="AB574" s="14" t="n">
        <v>0</v>
      </c>
      <c r="AC574" s="14" t="n">
        <v>0</v>
      </c>
      <c r="AD574" s="15" t="n">
        <f aca="false">H574*E574/1000</f>
        <v>0</v>
      </c>
      <c r="AE574" s="15" t="n">
        <f aca="false">I574*E574/1000</f>
        <v>0</v>
      </c>
      <c r="AF574" s="16" t="n">
        <f aca="false">ROUND(S574+T574+U574+V574-W574,2)</f>
        <v>0.01</v>
      </c>
      <c r="AG574" s="16" t="n">
        <f aca="false">ROUND(X574-W574-Y574,2)</f>
        <v>0</v>
      </c>
    </row>
    <row r="575" customFormat="false" ht="15" hidden="false" customHeight="false" outlineLevel="0" collapsed="false">
      <c r="A575" s="13" t="s">
        <v>334</v>
      </c>
      <c r="B575" s="13" t="s">
        <v>291</v>
      </c>
      <c r="C575" s="13" t="s">
        <v>240</v>
      </c>
      <c r="D575" s="13" t="s">
        <v>335</v>
      </c>
      <c r="E575" s="14" t="n">
        <v>37</v>
      </c>
      <c r="F575" s="14" t="n">
        <v>70</v>
      </c>
      <c r="G575" s="14" t="n">
        <v>2.59</v>
      </c>
      <c r="H575" s="14"/>
      <c r="I575" s="14"/>
      <c r="J575" s="14" t="n">
        <v>53.25</v>
      </c>
      <c r="K575" s="14" t="n">
        <v>51.17</v>
      </c>
      <c r="L575" s="14" t="n">
        <v>1.8</v>
      </c>
      <c r="M575" s="14" t="n">
        <v>21.73</v>
      </c>
      <c r="N575" s="14" t="n">
        <v>7</v>
      </c>
      <c r="O575" s="14"/>
      <c r="P575" s="14" t="n">
        <v>0.38</v>
      </c>
      <c r="Q575" s="14" t="n">
        <v>0.6</v>
      </c>
      <c r="R575" s="14" t="n">
        <v>0.5</v>
      </c>
      <c r="S575" s="14" t="n">
        <v>83.18</v>
      </c>
      <c r="T575" s="14" t="n">
        <v>15.73</v>
      </c>
      <c r="U575" s="14" t="n">
        <v>15</v>
      </c>
      <c r="V575" s="14" t="n">
        <v>24.96</v>
      </c>
      <c r="W575" s="14" t="n">
        <v>138.88</v>
      </c>
      <c r="X575" s="14" t="n">
        <v>192.37</v>
      </c>
      <c r="Y575" s="14" t="n">
        <v>53.49</v>
      </c>
      <c r="Z575" s="14" t="n">
        <v>1.39</v>
      </c>
      <c r="AA575" s="14" t="n">
        <v>0</v>
      </c>
      <c r="AB575" s="14" t="n">
        <v>0</v>
      </c>
      <c r="AC575" s="14" t="n">
        <v>0</v>
      </c>
      <c r="AD575" s="15" t="n">
        <f aca="false">H575*E575/1000</f>
        <v>0</v>
      </c>
      <c r="AE575" s="15" t="n">
        <f aca="false">I575*E575/1000</f>
        <v>0</v>
      </c>
      <c r="AF575" s="16" t="n">
        <f aca="false">ROUND(S575+T575+U575+V575-W575,2)</f>
        <v>-0.01</v>
      </c>
      <c r="AG575" s="16" t="n">
        <f aca="false">ROUND(X575-W575-Y575,2)</f>
        <v>0</v>
      </c>
    </row>
    <row r="576" customFormat="false" ht="15" hidden="false" customHeight="false" outlineLevel="0" collapsed="false">
      <c r="A576" s="13" t="s">
        <v>342</v>
      </c>
      <c r="B576" s="13" t="s">
        <v>218</v>
      </c>
      <c r="C576" s="13" t="s">
        <v>219</v>
      </c>
      <c r="D576" s="13" t="s">
        <v>343</v>
      </c>
      <c r="E576" s="14" t="n">
        <v>435</v>
      </c>
      <c r="F576" s="14" t="n">
        <v>5</v>
      </c>
      <c r="G576" s="14" t="n">
        <v>2.18</v>
      </c>
      <c r="H576" s="14" t="n">
        <v>1</v>
      </c>
      <c r="I576" s="14"/>
      <c r="J576" s="14" t="n">
        <v>62.52</v>
      </c>
      <c r="K576" s="14" t="n">
        <v>62.32</v>
      </c>
      <c r="L576" s="14" t="n">
        <v>2.11</v>
      </c>
      <c r="M576" s="14" t="n">
        <v>12.28</v>
      </c>
      <c r="N576" s="14" t="n">
        <v>5</v>
      </c>
      <c r="O576" s="14"/>
      <c r="P576" s="14" t="n">
        <v>0.38</v>
      </c>
      <c r="Q576" s="14"/>
      <c r="R576" s="14"/>
      <c r="S576" s="14" t="n">
        <v>82.09</v>
      </c>
      <c r="T576" s="14" t="n">
        <v>11.25</v>
      </c>
      <c r="U576" s="14" t="n">
        <v>10</v>
      </c>
      <c r="V576" s="14" t="n">
        <v>17.12</v>
      </c>
      <c r="W576" s="14" t="n">
        <v>120.46</v>
      </c>
      <c r="X576" s="14" t="n">
        <v>119.79</v>
      </c>
      <c r="Y576" s="14" t="n">
        <v>-0.67</v>
      </c>
      <c r="Z576" s="14" t="n">
        <v>-0.22</v>
      </c>
      <c r="AA576" s="14" t="n">
        <v>0.21</v>
      </c>
      <c r="AB576" s="14" t="n">
        <v>0</v>
      </c>
      <c r="AC576" s="14" t="n">
        <v>0</v>
      </c>
      <c r="AD576" s="15" t="n">
        <f aca="false">H576*E576/1000</f>
        <v>0.435</v>
      </c>
      <c r="AE576" s="15" t="n">
        <f aca="false">I576*E576/1000</f>
        <v>0</v>
      </c>
      <c r="AF576" s="16" t="n">
        <f aca="false">ROUND(S576+T576+U576+V576-W576,2)</f>
        <v>0</v>
      </c>
      <c r="AG576" s="16" t="n">
        <f aca="false">ROUND(X576-W576-Y576,2)</f>
        <v>0</v>
      </c>
    </row>
    <row r="577" customFormat="false" ht="15" hidden="false" customHeight="false" outlineLevel="0" collapsed="false">
      <c r="A577" s="13" t="s">
        <v>342</v>
      </c>
      <c r="B577" s="13" t="s">
        <v>218</v>
      </c>
      <c r="C577" s="13" t="s">
        <v>259</v>
      </c>
      <c r="D577" s="13" t="s">
        <v>343</v>
      </c>
      <c r="E577" s="14" t="n">
        <v>435</v>
      </c>
      <c r="F577" s="14" t="n">
        <v>15</v>
      </c>
      <c r="G577" s="14" t="n">
        <v>6.53</v>
      </c>
      <c r="H577" s="14"/>
      <c r="I577" s="14"/>
      <c r="J577" s="14" t="n">
        <v>62.52</v>
      </c>
      <c r="K577" s="14" t="n">
        <v>59.27</v>
      </c>
      <c r="L577" s="14" t="n">
        <v>2.11</v>
      </c>
      <c r="M577" s="14" t="n">
        <v>12.08</v>
      </c>
      <c r="N577" s="14" t="n">
        <v>5</v>
      </c>
      <c r="O577" s="14"/>
      <c r="P577" s="14" t="n">
        <v>0.38</v>
      </c>
      <c r="Q577" s="14"/>
      <c r="R577" s="14"/>
      <c r="S577" s="14" t="n">
        <v>78.84</v>
      </c>
      <c r="T577" s="14" t="n">
        <v>11.25</v>
      </c>
      <c r="U577" s="14" t="n">
        <v>10.2</v>
      </c>
      <c r="V577" s="14" t="n">
        <v>16.85</v>
      </c>
      <c r="W577" s="14" t="n">
        <v>117.14</v>
      </c>
      <c r="X577" s="14" t="n">
        <v>119.79</v>
      </c>
      <c r="Y577" s="14" t="n">
        <v>2.65</v>
      </c>
      <c r="Z577" s="14" t="n">
        <v>0.17</v>
      </c>
      <c r="AA577" s="14" t="n">
        <v>0</v>
      </c>
      <c r="AB577" s="14" t="n">
        <v>0</v>
      </c>
      <c r="AC577" s="14" t="n">
        <v>0</v>
      </c>
      <c r="AD577" s="15" t="n">
        <f aca="false">H577*E577/1000</f>
        <v>0</v>
      </c>
      <c r="AE577" s="15" t="n">
        <f aca="false">I577*E577/1000</f>
        <v>0</v>
      </c>
      <c r="AF577" s="16" t="n">
        <f aca="false">ROUND(S577+T577+U577+V577-W577,2)</f>
        <v>0</v>
      </c>
      <c r="AG577" s="16" t="n">
        <f aca="false">ROUND(X577-W577-Y577,2)</f>
        <v>0</v>
      </c>
    </row>
    <row r="578" customFormat="false" ht="15" hidden="false" customHeight="false" outlineLevel="0" collapsed="false">
      <c r="A578" s="13" t="s">
        <v>342</v>
      </c>
      <c r="B578" s="13" t="s">
        <v>218</v>
      </c>
      <c r="C578" s="13" t="s">
        <v>263</v>
      </c>
      <c r="D578" s="13" t="s">
        <v>343</v>
      </c>
      <c r="E578" s="14" t="n">
        <v>435</v>
      </c>
      <c r="F578" s="14" t="n">
        <v>35</v>
      </c>
      <c r="G578" s="14" t="n">
        <v>15.23</v>
      </c>
      <c r="H578" s="14" t="n">
        <v>2</v>
      </c>
      <c r="I578" s="14"/>
      <c r="J578" s="14" t="n">
        <v>62.52</v>
      </c>
      <c r="K578" s="14" t="n">
        <v>55.57</v>
      </c>
      <c r="L578" s="14" t="n">
        <v>2.11</v>
      </c>
      <c r="M578" s="14" t="n">
        <v>12.08</v>
      </c>
      <c r="N578" s="14" t="n">
        <v>5</v>
      </c>
      <c r="O578" s="14"/>
      <c r="P578" s="14" t="n">
        <v>0.38</v>
      </c>
      <c r="Q578" s="14"/>
      <c r="R578" s="14"/>
      <c r="S578" s="14" t="n">
        <v>75.15</v>
      </c>
      <c r="T578" s="14" t="n">
        <v>11.25</v>
      </c>
      <c r="U578" s="14" t="n">
        <v>10.74</v>
      </c>
      <c r="V578" s="14" t="n">
        <v>16.85</v>
      </c>
      <c r="W578" s="14" t="n">
        <v>113.99</v>
      </c>
      <c r="X578" s="14" t="n">
        <v>125.29</v>
      </c>
      <c r="Y578" s="14" t="n">
        <v>11.3</v>
      </c>
      <c r="Z578" s="14" t="n">
        <v>1.23</v>
      </c>
      <c r="AA578" s="14" t="n">
        <v>0.39</v>
      </c>
      <c r="AB578" s="14" t="n">
        <v>0</v>
      </c>
      <c r="AC578" s="14" t="n">
        <v>0.1</v>
      </c>
      <c r="AD578" s="15" t="n">
        <f aca="false">H578*E578/1000</f>
        <v>0.87</v>
      </c>
      <c r="AE578" s="15" t="n">
        <f aca="false">I578*E578/1000</f>
        <v>0</v>
      </c>
      <c r="AF578" s="16" t="n">
        <f aca="false">ROUND(S578+T578+U578+V578-W578,2)</f>
        <v>0</v>
      </c>
      <c r="AG578" s="16" t="n">
        <f aca="false">ROUND(X578-W578-Y578,2)</f>
        <v>0</v>
      </c>
    </row>
    <row r="579" customFormat="false" ht="15" hidden="false" customHeight="false" outlineLevel="0" collapsed="false">
      <c r="A579" s="13" t="s">
        <v>342</v>
      </c>
      <c r="B579" s="13" t="s">
        <v>218</v>
      </c>
      <c r="C579" s="13" t="s">
        <v>229</v>
      </c>
      <c r="D579" s="13" t="s">
        <v>343</v>
      </c>
      <c r="E579" s="14" t="n">
        <v>435</v>
      </c>
      <c r="F579" s="14" t="n">
        <v>25</v>
      </c>
      <c r="G579" s="14" t="n">
        <v>10.88</v>
      </c>
      <c r="H579" s="14" t="n">
        <v>1</v>
      </c>
      <c r="I579" s="14"/>
      <c r="J579" s="14" t="n">
        <v>62.52</v>
      </c>
      <c r="K579" s="14" t="n">
        <v>59.81</v>
      </c>
      <c r="L579" s="14" t="n">
        <v>2.11</v>
      </c>
      <c r="M579" s="14" t="n">
        <v>12.63</v>
      </c>
      <c r="N579" s="14" t="n">
        <v>5.54</v>
      </c>
      <c r="O579" s="14"/>
      <c r="P579" s="14" t="n">
        <v>0.38</v>
      </c>
      <c r="Q579" s="14"/>
      <c r="R579" s="14"/>
      <c r="S579" s="14" t="n">
        <v>80.47</v>
      </c>
      <c r="T579" s="14" t="n">
        <v>11.25</v>
      </c>
      <c r="U579" s="14" t="n">
        <v>10.74</v>
      </c>
      <c r="V579" s="14" t="n">
        <v>16.85</v>
      </c>
      <c r="W579" s="14" t="n">
        <v>119.31</v>
      </c>
      <c r="X579" s="14" t="n">
        <v>154.45</v>
      </c>
      <c r="Y579" s="14" t="n">
        <v>35.14</v>
      </c>
      <c r="Z579" s="14" t="n">
        <v>3.47</v>
      </c>
      <c r="AA579" s="14" t="n">
        <v>0.2</v>
      </c>
      <c r="AB579" s="14" t="n">
        <v>0</v>
      </c>
      <c r="AC579" s="14" t="n">
        <v>0.15</v>
      </c>
      <c r="AD579" s="15" t="n">
        <f aca="false">H579*E579/1000</f>
        <v>0.435</v>
      </c>
      <c r="AE579" s="15" t="n">
        <f aca="false">I579*E579/1000</f>
        <v>0</v>
      </c>
      <c r="AF579" s="16" t="n">
        <f aca="false">ROUND(S579+T579+U579+V579-W579,2)</f>
        <v>0</v>
      </c>
      <c r="AG579" s="16" t="n">
        <f aca="false">ROUND(X579-W579-Y579,2)</f>
        <v>0</v>
      </c>
    </row>
    <row r="580" customFormat="false" ht="15" hidden="false" customHeight="false" outlineLevel="0" collapsed="false">
      <c r="A580" s="13" t="s">
        <v>342</v>
      </c>
      <c r="B580" s="13" t="s">
        <v>218</v>
      </c>
      <c r="C580" s="13" t="s">
        <v>229</v>
      </c>
      <c r="D580" s="13" t="s">
        <v>344</v>
      </c>
      <c r="E580" s="14" t="n">
        <v>355</v>
      </c>
      <c r="F580" s="14" t="n">
        <v>11</v>
      </c>
      <c r="G580" s="14" t="n">
        <v>3.91</v>
      </c>
      <c r="H580" s="14"/>
      <c r="I580" s="14"/>
      <c r="J580" s="14" t="n">
        <v>60.18</v>
      </c>
      <c r="K580" s="14" t="n">
        <v>60.1</v>
      </c>
      <c r="L580" s="14" t="n">
        <v>2.19</v>
      </c>
      <c r="M580" s="14" t="n">
        <v>16.29</v>
      </c>
      <c r="N580" s="14" t="n">
        <v>5.54</v>
      </c>
      <c r="O580" s="14"/>
      <c r="P580" s="14" t="n">
        <v>0.38</v>
      </c>
      <c r="Q580" s="14"/>
      <c r="R580" s="14"/>
      <c r="S580" s="14" t="n">
        <v>84.5</v>
      </c>
      <c r="T580" s="14" t="n">
        <v>11.7</v>
      </c>
      <c r="U580" s="14" t="n">
        <v>10.74</v>
      </c>
      <c r="V580" s="14" t="n">
        <v>17.27</v>
      </c>
      <c r="W580" s="14" t="n">
        <v>124.21</v>
      </c>
      <c r="X580" s="14" t="n">
        <v>144.67</v>
      </c>
      <c r="Y580" s="14" t="n">
        <v>20.46</v>
      </c>
      <c r="Z580" s="14" t="n">
        <v>0.8</v>
      </c>
      <c r="AA580" s="14" t="n">
        <v>0</v>
      </c>
      <c r="AB580" s="14" t="n">
        <v>0</v>
      </c>
      <c r="AC580" s="14" t="n">
        <v>0</v>
      </c>
      <c r="AD580" s="15" t="n">
        <f aca="false">H580*E580/1000</f>
        <v>0</v>
      </c>
      <c r="AE580" s="15" t="n">
        <f aca="false">I580*E580/1000</f>
        <v>0</v>
      </c>
      <c r="AF580" s="16" t="n">
        <f aca="false">ROUND(S580+T580+U580+V580-W580,2)</f>
        <v>0</v>
      </c>
      <c r="AG580" s="16" t="n">
        <f aca="false">ROUND(X580-W580-Y580,2)</f>
        <v>0</v>
      </c>
    </row>
    <row r="581" customFormat="false" ht="15" hidden="false" customHeight="false" outlineLevel="0" collapsed="false">
      <c r="A581" s="13" t="s">
        <v>342</v>
      </c>
      <c r="B581" s="13" t="s">
        <v>218</v>
      </c>
      <c r="C581" s="13" t="s">
        <v>234</v>
      </c>
      <c r="D581" s="13" t="s">
        <v>343</v>
      </c>
      <c r="E581" s="14" t="n">
        <v>435</v>
      </c>
      <c r="F581" s="14" t="n">
        <v>33</v>
      </c>
      <c r="G581" s="14" t="n">
        <v>14.36</v>
      </c>
      <c r="H581" s="14"/>
      <c r="I581" s="14"/>
      <c r="J581" s="14" t="n">
        <v>62.52</v>
      </c>
      <c r="K581" s="14" t="n">
        <v>58.97</v>
      </c>
      <c r="L581" s="14" t="n">
        <v>2.11</v>
      </c>
      <c r="M581" s="14" t="n">
        <v>10.33</v>
      </c>
      <c r="N581" s="14" t="n">
        <v>6</v>
      </c>
      <c r="O581" s="14"/>
      <c r="P581" s="14" t="n">
        <v>0.38</v>
      </c>
      <c r="Q581" s="14"/>
      <c r="R581" s="14"/>
      <c r="S581" s="14" t="n">
        <v>77.8</v>
      </c>
      <c r="T581" s="14" t="n">
        <v>11.25</v>
      </c>
      <c r="U581" s="14" t="n">
        <v>10.74</v>
      </c>
      <c r="V581" s="14" t="n">
        <v>15.86</v>
      </c>
      <c r="W581" s="14" t="n">
        <v>115.64</v>
      </c>
      <c r="X581" s="14" t="n">
        <v>154.45</v>
      </c>
      <c r="Y581" s="14" t="n">
        <v>38.8</v>
      </c>
      <c r="Z581" s="14" t="n">
        <v>5.57</v>
      </c>
      <c r="AA581" s="14" t="n">
        <v>0</v>
      </c>
      <c r="AB581" s="14" t="n">
        <v>0</v>
      </c>
      <c r="AC581" s="14" t="n">
        <v>0</v>
      </c>
      <c r="AD581" s="15" t="n">
        <f aca="false">H581*E581/1000</f>
        <v>0</v>
      </c>
      <c r="AE581" s="15" t="n">
        <f aca="false">I581*E581/1000</f>
        <v>0</v>
      </c>
      <c r="AF581" s="16" t="n">
        <f aca="false">ROUND(S581+T581+U581+V581-W581,2)</f>
        <v>0.01</v>
      </c>
      <c r="AG581" s="16" t="n">
        <f aca="false">ROUND(X581-W581-Y581,2)</f>
        <v>0.01</v>
      </c>
    </row>
    <row r="582" customFormat="false" ht="15" hidden="false" customHeight="false" outlineLevel="0" collapsed="false">
      <c r="A582" s="13" t="s">
        <v>342</v>
      </c>
      <c r="B582" s="13" t="s">
        <v>218</v>
      </c>
      <c r="C582" s="13" t="s">
        <v>234</v>
      </c>
      <c r="D582" s="13" t="s">
        <v>344</v>
      </c>
      <c r="E582" s="14" t="n">
        <v>355</v>
      </c>
      <c r="F582" s="14" t="n">
        <v>23</v>
      </c>
      <c r="G582" s="14" t="n">
        <v>8.17</v>
      </c>
      <c r="H582" s="14" t="n">
        <v>1</v>
      </c>
      <c r="I582" s="14"/>
      <c r="J582" s="14" t="n">
        <v>60.18</v>
      </c>
      <c r="K582" s="14" t="n">
        <v>59.26</v>
      </c>
      <c r="L582" s="14" t="n">
        <v>2.19</v>
      </c>
      <c r="M582" s="14" t="n">
        <v>13.3</v>
      </c>
      <c r="N582" s="14" t="n">
        <v>6</v>
      </c>
      <c r="O582" s="14"/>
      <c r="P582" s="14" t="n">
        <v>0.38</v>
      </c>
      <c r="Q582" s="14"/>
      <c r="R582" s="14"/>
      <c r="S582" s="14" t="n">
        <v>81.13</v>
      </c>
      <c r="T582" s="14" t="n">
        <v>11.7</v>
      </c>
      <c r="U582" s="14" t="n">
        <v>10.74</v>
      </c>
      <c r="V582" s="14" t="n">
        <v>16.26</v>
      </c>
      <c r="W582" s="14" t="n">
        <v>119.82</v>
      </c>
      <c r="X582" s="14" t="n">
        <v>144.67</v>
      </c>
      <c r="Y582" s="14" t="n">
        <v>24.84</v>
      </c>
      <c r="Z582" s="14" t="n">
        <v>1.77</v>
      </c>
      <c r="AA582" s="14" t="n">
        <v>0.17</v>
      </c>
      <c r="AB582" s="14" t="n">
        <v>0</v>
      </c>
      <c r="AC582" s="14" t="n">
        <v>0.09</v>
      </c>
      <c r="AD582" s="15" t="n">
        <f aca="false">H582*E582/1000</f>
        <v>0.355</v>
      </c>
      <c r="AE582" s="15" t="n">
        <f aca="false">I582*E582/1000</f>
        <v>0</v>
      </c>
      <c r="AF582" s="16" t="n">
        <f aca="false">ROUND(S582+T582+U582+V582-W582,2)</f>
        <v>0.01</v>
      </c>
      <c r="AG582" s="16" t="n">
        <f aca="false">ROUND(X582-W582-Y582,2)</f>
        <v>0.01</v>
      </c>
    </row>
    <row r="583" customFormat="false" ht="15" hidden="false" customHeight="false" outlineLevel="0" collapsed="false">
      <c r="A583" s="13" t="s">
        <v>342</v>
      </c>
      <c r="B583" s="13" t="s">
        <v>218</v>
      </c>
      <c r="C583" s="13" t="s">
        <v>234</v>
      </c>
      <c r="D583" s="13" t="s">
        <v>345</v>
      </c>
      <c r="E583" s="14" t="n">
        <v>570</v>
      </c>
      <c r="F583" s="14" t="n">
        <v>5</v>
      </c>
      <c r="G583" s="14" t="n">
        <v>2.85</v>
      </c>
      <c r="H583" s="14"/>
      <c r="I583" s="14"/>
      <c r="J583" s="14" t="n">
        <v>62.52</v>
      </c>
      <c r="K583" s="14" t="n">
        <v>58.97</v>
      </c>
      <c r="L583" s="14" t="n">
        <v>2.11</v>
      </c>
      <c r="M583" s="14" t="n">
        <v>8.16</v>
      </c>
      <c r="N583" s="14" t="n">
        <v>6</v>
      </c>
      <c r="O583" s="14"/>
      <c r="P583" s="14" t="n">
        <v>0.38</v>
      </c>
      <c r="Q583" s="14"/>
      <c r="R583" s="14"/>
      <c r="S583" s="14" t="n">
        <v>75.62</v>
      </c>
      <c r="T583" s="14" t="n">
        <v>10.06</v>
      </c>
      <c r="U583" s="14" t="n">
        <v>10.74</v>
      </c>
      <c r="V583" s="14" t="n">
        <v>15.86</v>
      </c>
      <c r="W583" s="14" t="n">
        <v>112.29</v>
      </c>
      <c r="X583" s="14" t="n">
        <v>139.47</v>
      </c>
      <c r="Y583" s="14" t="n">
        <v>27.19</v>
      </c>
      <c r="Z583" s="14" t="n">
        <v>0.77</v>
      </c>
      <c r="AA583" s="14" t="n">
        <v>0</v>
      </c>
      <c r="AB583" s="14" t="n">
        <v>0</v>
      </c>
      <c r="AC583" s="14" t="n">
        <v>0</v>
      </c>
      <c r="AD583" s="15" t="n">
        <f aca="false">H583*E583/1000</f>
        <v>0</v>
      </c>
      <c r="AE583" s="15" t="n">
        <f aca="false">I583*E583/1000</f>
        <v>0</v>
      </c>
      <c r="AF583" s="16" t="n">
        <f aca="false">ROUND(S583+T583+U583+V583-W583,2)</f>
        <v>-0.01</v>
      </c>
      <c r="AG583" s="16" t="n">
        <f aca="false">ROUND(X583-W583-Y583,2)</f>
        <v>-0.01</v>
      </c>
    </row>
    <row r="584" customFormat="false" ht="15" hidden="false" customHeight="false" outlineLevel="0" collapsed="false">
      <c r="A584" s="13" t="s">
        <v>342</v>
      </c>
      <c r="B584" s="13" t="s">
        <v>218</v>
      </c>
      <c r="C584" s="13" t="s">
        <v>268</v>
      </c>
      <c r="D584" s="13" t="s">
        <v>343</v>
      </c>
      <c r="E584" s="14" t="n">
        <v>435</v>
      </c>
      <c r="F584" s="14" t="n">
        <v>35</v>
      </c>
      <c r="G584" s="14" t="n">
        <v>15.23</v>
      </c>
      <c r="H584" s="14" t="n">
        <v>1</v>
      </c>
      <c r="I584" s="14"/>
      <c r="J584" s="14" t="n">
        <v>62.52</v>
      </c>
      <c r="K584" s="14" t="n">
        <v>58.41</v>
      </c>
      <c r="L584" s="14" t="n">
        <v>2.11</v>
      </c>
      <c r="M584" s="14" t="n">
        <v>13.13</v>
      </c>
      <c r="N584" s="14" t="n">
        <v>6</v>
      </c>
      <c r="O584" s="14"/>
      <c r="P584" s="14" t="n">
        <v>0.38</v>
      </c>
      <c r="Q584" s="14"/>
      <c r="R584" s="14"/>
      <c r="S584" s="14" t="n">
        <v>80.03</v>
      </c>
      <c r="T584" s="14" t="n">
        <v>11.25</v>
      </c>
      <c r="U584" s="14" t="n">
        <v>10.74</v>
      </c>
      <c r="V584" s="14" t="n">
        <v>15.86</v>
      </c>
      <c r="W584" s="14" t="n">
        <v>117.88</v>
      </c>
      <c r="X584" s="14" t="n">
        <v>154.45</v>
      </c>
      <c r="Y584" s="14" t="n">
        <v>36.57</v>
      </c>
      <c r="Z584" s="14" t="n">
        <v>5.21</v>
      </c>
      <c r="AA584" s="14" t="n">
        <v>0.2</v>
      </c>
      <c r="AB584" s="14" t="n">
        <v>0</v>
      </c>
      <c r="AC584" s="14" t="n">
        <v>0.16</v>
      </c>
      <c r="AD584" s="15" t="n">
        <f aca="false">H584*E584/1000</f>
        <v>0.435</v>
      </c>
      <c r="AE584" s="15" t="n">
        <f aca="false">I584*E584/1000</f>
        <v>0</v>
      </c>
      <c r="AF584" s="16" t="n">
        <f aca="false">ROUND(S584+T584+U584+V584-W584,2)</f>
        <v>0</v>
      </c>
      <c r="AG584" s="16" t="n">
        <f aca="false">ROUND(X584-W584-Y584,2)</f>
        <v>0</v>
      </c>
    </row>
    <row r="585" customFormat="false" ht="15" hidden="false" customHeight="false" outlineLevel="0" collapsed="false">
      <c r="A585" s="13" t="s">
        <v>342</v>
      </c>
      <c r="B585" s="13" t="s">
        <v>218</v>
      </c>
      <c r="C585" s="13" t="s">
        <v>268</v>
      </c>
      <c r="D585" s="13" t="s">
        <v>345</v>
      </c>
      <c r="E585" s="14" t="n">
        <v>570</v>
      </c>
      <c r="F585" s="14" t="n">
        <v>8</v>
      </c>
      <c r="G585" s="14" t="n">
        <v>4.56</v>
      </c>
      <c r="H585" s="14" t="n">
        <v>3</v>
      </c>
      <c r="I585" s="14"/>
      <c r="J585" s="14" t="n">
        <v>62.52</v>
      </c>
      <c r="K585" s="14" t="n">
        <v>58.41</v>
      </c>
      <c r="L585" s="14" t="n">
        <v>2.11</v>
      </c>
      <c r="M585" s="14" t="n">
        <v>10.29</v>
      </c>
      <c r="N585" s="14" t="n">
        <v>6</v>
      </c>
      <c r="O585" s="14"/>
      <c r="P585" s="14" t="n">
        <v>0.38</v>
      </c>
      <c r="Q585" s="14"/>
      <c r="R585" s="14"/>
      <c r="S585" s="14" t="n">
        <v>77.2</v>
      </c>
      <c r="T585" s="14" t="n">
        <v>10.06</v>
      </c>
      <c r="U585" s="14" t="n">
        <v>10.74</v>
      </c>
      <c r="V585" s="14" t="n">
        <v>15.86</v>
      </c>
      <c r="W585" s="14" t="n">
        <v>113.86</v>
      </c>
      <c r="X585" s="14" t="n">
        <v>139.47</v>
      </c>
      <c r="Y585" s="14" t="n">
        <v>25.61</v>
      </c>
      <c r="Z585" s="14" t="n">
        <v>-0.02</v>
      </c>
      <c r="AA585" s="14" t="n">
        <v>0.75</v>
      </c>
      <c r="AB585" s="14" t="n">
        <v>0</v>
      </c>
      <c r="AC585" s="14" t="n">
        <v>0.44</v>
      </c>
      <c r="AD585" s="15" t="n">
        <f aca="false">H585*E585/1000</f>
        <v>1.71</v>
      </c>
      <c r="AE585" s="15" t="n">
        <f aca="false">I585*E585/1000</f>
        <v>0</v>
      </c>
      <c r="AF585" s="16" t="n">
        <f aca="false">ROUND(S585+T585+U585+V585-W585,2)</f>
        <v>0</v>
      </c>
      <c r="AG585" s="16" t="n">
        <f aca="false">ROUND(X585-W585-Y585,2)</f>
        <v>0</v>
      </c>
    </row>
    <row r="586" customFormat="false" ht="15" hidden="false" customHeight="false" outlineLevel="0" collapsed="false">
      <c r="A586" s="13" t="s">
        <v>342</v>
      </c>
      <c r="B586" s="13" t="s">
        <v>218</v>
      </c>
      <c r="C586" s="13" t="s">
        <v>269</v>
      </c>
      <c r="D586" s="13" t="s">
        <v>343</v>
      </c>
      <c r="E586" s="14" t="n">
        <v>435</v>
      </c>
      <c r="F586" s="14" t="n">
        <v>36</v>
      </c>
      <c r="G586" s="14" t="n">
        <v>15.66</v>
      </c>
      <c r="H586" s="14" t="n">
        <v>2</v>
      </c>
      <c r="I586" s="14"/>
      <c r="J586" s="14" t="n">
        <v>62.52</v>
      </c>
      <c r="K586" s="14" t="n">
        <v>57.88</v>
      </c>
      <c r="L586" s="14" t="n">
        <v>2.11</v>
      </c>
      <c r="M586" s="14" t="n">
        <v>11.32</v>
      </c>
      <c r="N586" s="14" t="n">
        <v>5</v>
      </c>
      <c r="O586" s="14"/>
      <c r="P586" s="14" t="n">
        <v>0.38</v>
      </c>
      <c r="Q586" s="14"/>
      <c r="R586" s="14"/>
      <c r="S586" s="14" t="n">
        <v>76.69</v>
      </c>
      <c r="T586" s="14" t="n">
        <v>11.25</v>
      </c>
      <c r="U586" s="14" t="n">
        <v>10.74</v>
      </c>
      <c r="V586" s="14" t="n">
        <v>14.89</v>
      </c>
      <c r="W586" s="14" t="n">
        <v>113.56</v>
      </c>
      <c r="X586" s="14" t="n">
        <v>139.73</v>
      </c>
      <c r="Y586" s="14" t="n">
        <v>26.17</v>
      </c>
      <c r="Z586" s="14" t="n">
        <v>3.5</v>
      </c>
      <c r="AA586" s="14" t="n">
        <v>0.37</v>
      </c>
      <c r="AB586" s="14" t="n">
        <v>0</v>
      </c>
      <c r="AC586" s="14" t="n">
        <v>0.23</v>
      </c>
      <c r="AD586" s="15" t="n">
        <f aca="false">H586*E586/1000</f>
        <v>0.87</v>
      </c>
      <c r="AE586" s="15" t="n">
        <f aca="false">I586*E586/1000</f>
        <v>0</v>
      </c>
      <c r="AF586" s="16" t="n">
        <f aca="false">ROUND(S586+T586+U586+V586-W586,2)</f>
        <v>0.01</v>
      </c>
      <c r="AG586" s="16" t="n">
        <f aca="false">ROUND(X586-W586-Y586,2)</f>
        <v>0</v>
      </c>
    </row>
    <row r="587" customFormat="false" ht="15" hidden="false" customHeight="false" outlineLevel="0" collapsed="false">
      <c r="A587" s="13" t="s">
        <v>342</v>
      </c>
      <c r="B587" s="13" t="s">
        <v>218</v>
      </c>
      <c r="C587" s="13" t="s">
        <v>269</v>
      </c>
      <c r="D587" s="13" t="s">
        <v>344</v>
      </c>
      <c r="E587" s="14" t="n">
        <v>355</v>
      </c>
      <c r="F587" s="14" t="n">
        <v>5</v>
      </c>
      <c r="G587" s="14" t="n">
        <v>1.78</v>
      </c>
      <c r="H587" s="14" t="n">
        <v>1</v>
      </c>
      <c r="I587" s="14"/>
      <c r="J587" s="14" t="n">
        <v>60.18</v>
      </c>
      <c r="K587" s="14" t="n">
        <v>58.17</v>
      </c>
      <c r="L587" s="14" t="n">
        <v>2.19</v>
      </c>
      <c r="M587" s="14" t="n">
        <v>14.58</v>
      </c>
      <c r="N587" s="14" t="n">
        <v>5</v>
      </c>
      <c r="O587" s="14"/>
      <c r="P587" s="14" t="n">
        <v>0.38</v>
      </c>
      <c r="Q587" s="14"/>
      <c r="R587" s="14"/>
      <c r="S587" s="14" t="n">
        <v>80.32</v>
      </c>
      <c r="T587" s="14" t="n">
        <v>11.7</v>
      </c>
      <c r="U587" s="14" t="n">
        <v>10.74</v>
      </c>
      <c r="V587" s="14" t="n">
        <v>15.26</v>
      </c>
      <c r="W587" s="14" t="n">
        <v>118.01</v>
      </c>
      <c r="X587" s="14" t="n">
        <v>144.67</v>
      </c>
      <c r="Y587" s="14" t="n">
        <v>26.66</v>
      </c>
      <c r="Z587" s="14" t="n">
        <v>0.21</v>
      </c>
      <c r="AA587" s="14" t="n">
        <v>0.17</v>
      </c>
      <c r="AB587" s="14" t="n">
        <v>0</v>
      </c>
      <c r="AC587" s="14" t="n">
        <v>0.09</v>
      </c>
      <c r="AD587" s="15" t="n">
        <f aca="false">H587*E587/1000</f>
        <v>0.355</v>
      </c>
      <c r="AE587" s="15" t="n">
        <f aca="false">I587*E587/1000</f>
        <v>0</v>
      </c>
      <c r="AF587" s="16" t="n">
        <f aca="false">ROUND(S587+T587+U587+V587-W587,2)</f>
        <v>0.01</v>
      </c>
      <c r="AG587" s="16" t="n">
        <f aca="false">ROUND(X587-W587-Y587,2)</f>
        <v>0</v>
      </c>
    </row>
    <row r="588" customFormat="false" ht="15" hidden="false" customHeight="false" outlineLevel="0" collapsed="false">
      <c r="A588" s="13" t="s">
        <v>342</v>
      </c>
      <c r="B588" s="13" t="s">
        <v>218</v>
      </c>
      <c r="C588" s="13" t="s">
        <v>269</v>
      </c>
      <c r="D588" s="13" t="s">
        <v>345</v>
      </c>
      <c r="E588" s="14" t="n">
        <v>570</v>
      </c>
      <c r="F588" s="14" t="n">
        <v>1</v>
      </c>
      <c r="G588" s="14" t="n">
        <v>0.57</v>
      </c>
      <c r="H588" s="14" t="n">
        <v>1</v>
      </c>
      <c r="I588" s="14"/>
      <c r="J588" s="14" t="n">
        <v>62.52</v>
      </c>
      <c r="K588" s="14" t="n">
        <v>57.88</v>
      </c>
      <c r="L588" s="14" t="n">
        <v>2.11</v>
      </c>
      <c r="M588" s="14" t="n">
        <v>8.91</v>
      </c>
      <c r="N588" s="14" t="n">
        <v>5</v>
      </c>
      <c r="O588" s="14"/>
      <c r="P588" s="14" t="n">
        <v>0.38</v>
      </c>
      <c r="Q588" s="14"/>
      <c r="R588" s="14"/>
      <c r="S588" s="14" t="n">
        <v>74.29</v>
      </c>
      <c r="T588" s="14" t="n">
        <v>10.06</v>
      </c>
      <c r="U588" s="14" t="n">
        <v>10.74</v>
      </c>
      <c r="V588" s="14" t="n">
        <v>14.89</v>
      </c>
      <c r="W588" s="14" t="n">
        <v>109.97</v>
      </c>
      <c r="X588" s="14" t="n">
        <v>139.47</v>
      </c>
      <c r="Y588" s="14" t="n">
        <v>29.5</v>
      </c>
      <c r="Z588" s="14" t="n">
        <v>-0.23</v>
      </c>
      <c r="AA588" s="14" t="n">
        <v>0.23</v>
      </c>
      <c r="AB588" s="14" t="n">
        <v>0</v>
      </c>
      <c r="AC588" s="14" t="n">
        <v>0.17</v>
      </c>
      <c r="AD588" s="15" t="n">
        <f aca="false">H588*E588/1000</f>
        <v>0.57</v>
      </c>
      <c r="AE588" s="15" t="n">
        <f aca="false">I588*E588/1000</f>
        <v>0</v>
      </c>
      <c r="AF588" s="16" t="n">
        <f aca="false">ROUND(S588+T588+U588+V588-W588,2)</f>
        <v>0.01</v>
      </c>
      <c r="AG588" s="16" t="n">
        <f aca="false">ROUND(X588-W588-Y588,2)</f>
        <v>0</v>
      </c>
    </row>
    <row r="589" customFormat="false" ht="15" hidden="false" customHeight="false" outlineLevel="0" collapsed="false">
      <c r="A589" s="13" t="s">
        <v>342</v>
      </c>
      <c r="B589" s="13" t="s">
        <v>218</v>
      </c>
      <c r="C589" s="13" t="s">
        <v>235</v>
      </c>
      <c r="D589" s="13" t="s">
        <v>343</v>
      </c>
      <c r="E589" s="14" t="n">
        <v>435</v>
      </c>
      <c r="F589" s="14" t="n">
        <v>71</v>
      </c>
      <c r="G589" s="14" t="n">
        <v>30.89</v>
      </c>
      <c r="H589" s="14" t="n">
        <v>1</v>
      </c>
      <c r="I589" s="14"/>
      <c r="J589" s="14" t="n">
        <v>62.52</v>
      </c>
      <c r="K589" s="14" t="n">
        <v>56.74</v>
      </c>
      <c r="L589" s="14" t="n">
        <v>2.11</v>
      </c>
      <c r="M589" s="14" t="n">
        <v>12.97</v>
      </c>
      <c r="N589" s="14" t="n">
        <v>5</v>
      </c>
      <c r="O589" s="14"/>
      <c r="P589" s="14" t="n">
        <v>0.38</v>
      </c>
      <c r="Q589" s="14"/>
      <c r="R589" s="14"/>
      <c r="S589" s="14" t="n">
        <v>77.2</v>
      </c>
      <c r="T589" s="14" t="n">
        <v>11.25</v>
      </c>
      <c r="U589" s="14" t="n">
        <v>10.74</v>
      </c>
      <c r="V589" s="14" t="n">
        <v>14.89</v>
      </c>
      <c r="W589" s="14" t="n">
        <v>114.07</v>
      </c>
      <c r="X589" s="14" t="n">
        <v>139.73</v>
      </c>
      <c r="Y589" s="14" t="n">
        <v>25.66</v>
      </c>
      <c r="Z589" s="14" t="n">
        <v>7.62</v>
      </c>
      <c r="AA589" s="14" t="n">
        <v>0.19</v>
      </c>
      <c r="AB589" s="14" t="n">
        <v>0</v>
      </c>
      <c r="AC589" s="14" t="n">
        <v>0.11</v>
      </c>
      <c r="AD589" s="15" t="n">
        <f aca="false">H589*E589/1000</f>
        <v>0.435</v>
      </c>
      <c r="AE589" s="15" t="n">
        <f aca="false">I589*E589/1000</f>
        <v>0</v>
      </c>
      <c r="AF589" s="16" t="n">
        <f aca="false">ROUND(S589+T589+U589+V589-W589,2)</f>
        <v>0.01</v>
      </c>
      <c r="AG589" s="16" t="n">
        <f aca="false">ROUND(X589-W589-Y589,2)</f>
        <v>0</v>
      </c>
    </row>
    <row r="590" customFormat="false" ht="15" hidden="false" customHeight="false" outlineLevel="0" collapsed="false">
      <c r="A590" s="13" t="s">
        <v>342</v>
      </c>
      <c r="B590" s="13" t="s">
        <v>218</v>
      </c>
      <c r="C590" s="13" t="s">
        <v>235</v>
      </c>
      <c r="D590" s="13" t="s">
        <v>344</v>
      </c>
      <c r="E590" s="14" t="n">
        <v>355</v>
      </c>
      <c r="F590" s="14" t="n">
        <v>14</v>
      </c>
      <c r="G590" s="14" t="n">
        <v>4.97</v>
      </c>
      <c r="H590" s="14"/>
      <c r="I590" s="14"/>
      <c r="J590" s="14" t="n">
        <v>60.18</v>
      </c>
      <c r="K590" s="14" t="n">
        <v>57.02</v>
      </c>
      <c r="L590" s="14" t="n">
        <v>2.19</v>
      </c>
      <c r="M590" s="14" t="n">
        <v>16.73</v>
      </c>
      <c r="N590" s="14" t="n">
        <v>5</v>
      </c>
      <c r="O590" s="14"/>
      <c r="P590" s="14" t="n">
        <v>0.38</v>
      </c>
      <c r="Q590" s="14"/>
      <c r="R590" s="14"/>
      <c r="S590" s="14" t="n">
        <v>81.32</v>
      </c>
      <c r="T590" s="14" t="n">
        <v>11.7</v>
      </c>
      <c r="U590" s="14" t="n">
        <v>10.74</v>
      </c>
      <c r="V590" s="14" t="n">
        <v>15.26</v>
      </c>
      <c r="W590" s="14" t="n">
        <v>119.02</v>
      </c>
      <c r="X590" s="14" t="n">
        <v>144.67</v>
      </c>
      <c r="Y590" s="14" t="n">
        <v>25.65</v>
      </c>
      <c r="Z590" s="14" t="n">
        <v>1.27</v>
      </c>
      <c r="AA590" s="14" t="n">
        <v>0</v>
      </c>
      <c r="AB590" s="14" t="n">
        <v>0</v>
      </c>
      <c r="AC590" s="14" t="n">
        <v>0</v>
      </c>
      <c r="AD590" s="15" t="n">
        <f aca="false">H590*E590/1000</f>
        <v>0</v>
      </c>
      <c r="AE590" s="15" t="n">
        <f aca="false">I590*E590/1000</f>
        <v>0</v>
      </c>
      <c r="AF590" s="16" t="n">
        <f aca="false">ROUND(S590+T590+U590+V590-W590,2)</f>
        <v>0</v>
      </c>
      <c r="AG590" s="16" t="n">
        <f aca="false">ROUND(X590-W590-Y590,2)</f>
        <v>0</v>
      </c>
    </row>
    <row r="591" customFormat="false" ht="15" hidden="false" customHeight="false" outlineLevel="0" collapsed="false">
      <c r="A591" s="13" t="s">
        <v>342</v>
      </c>
      <c r="B591" s="13" t="s">
        <v>218</v>
      </c>
      <c r="C591" s="13" t="s">
        <v>240</v>
      </c>
      <c r="D591" s="13" t="s">
        <v>343</v>
      </c>
      <c r="E591" s="14" t="n">
        <v>435</v>
      </c>
      <c r="F591" s="14" t="n">
        <v>57</v>
      </c>
      <c r="G591" s="14" t="n">
        <v>24.8</v>
      </c>
      <c r="H591" s="14" t="n">
        <v>1</v>
      </c>
      <c r="I591" s="14"/>
      <c r="J591" s="14" t="n">
        <v>62.52</v>
      </c>
      <c r="K591" s="14" t="n">
        <v>55.63</v>
      </c>
      <c r="L591" s="14" t="n">
        <v>2.11</v>
      </c>
      <c r="M591" s="14" t="n">
        <v>12.97</v>
      </c>
      <c r="N591" s="14" t="n">
        <v>5</v>
      </c>
      <c r="O591" s="14"/>
      <c r="P591" s="14" t="n">
        <v>0.38</v>
      </c>
      <c r="Q591" s="14"/>
      <c r="R591" s="14"/>
      <c r="S591" s="14" t="n">
        <v>76.09</v>
      </c>
      <c r="T591" s="14" t="n">
        <v>11.25</v>
      </c>
      <c r="U591" s="14" t="n">
        <v>10.74</v>
      </c>
      <c r="V591" s="14" t="n">
        <v>14.89</v>
      </c>
      <c r="W591" s="14" t="n">
        <v>112.96</v>
      </c>
      <c r="X591" s="14" t="n">
        <v>139.73</v>
      </c>
      <c r="Y591" s="14" t="n">
        <v>26.77</v>
      </c>
      <c r="Z591" s="14" t="n">
        <v>6.33</v>
      </c>
      <c r="AA591" s="14" t="n">
        <v>0.19</v>
      </c>
      <c r="AB591" s="14" t="n">
        <v>0</v>
      </c>
      <c r="AC591" s="14" t="n">
        <v>0.12</v>
      </c>
      <c r="AD591" s="15" t="n">
        <f aca="false">H591*E591/1000</f>
        <v>0.435</v>
      </c>
      <c r="AE591" s="15" t="n">
        <f aca="false">I591*E591/1000</f>
        <v>0</v>
      </c>
      <c r="AF591" s="16" t="n">
        <f aca="false">ROUND(S591+T591+U591+V591-W591,2)</f>
        <v>0.01</v>
      </c>
      <c r="AG591" s="16" t="n">
        <f aca="false">ROUND(X591-W591-Y591,2)</f>
        <v>0</v>
      </c>
    </row>
    <row r="592" customFormat="false" ht="15" hidden="false" customHeight="false" outlineLevel="0" collapsed="false">
      <c r="A592" s="13" t="s">
        <v>342</v>
      </c>
      <c r="B592" s="13" t="s">
        <v>218</v>
      </c>
      <c r="C592" s="13" t="s">
        <v>240</v>
      </c>
      <c r="D592" s="13" t="s">
        <v>344</v>
      </c>
      <c r="E592" s="14" t="n">
        <v>355</v>
      </c>
      <c r="F592" s="14" t="n">
        <v>25</v>
      </c>
      <c r="G592" s="14" t="n">
        <v>8.88</v>
      </c>
      <c r="H592" s="14"/>
      <c r="I592" s="14"/>
      <c r="J592" s="14" t="n">
        <v>60.18</v>
      </c>
      <c r="K592" s="14" t="n">
        <v>55.9</v>
      </c>
      <c r="L592" s="14" t="n">
        <v>2.19</v>
      </c>
      <c r="M592" s="14" t="n">
        <v>16.73</v>
      </c>
      <c r="N592" s="14" t="n">
        <v>5</v>
      </c>
      <c r="O592" s="14"/>
      <c r="P592" s="14" t="n">
        <v>0.38</v>
      </c>
      <c r="Q592" s="14"/>
      <c r="R592" s="14"/>
      <c r="S592" s="14" t="n">
        <v>80.21</v>
      </c>
      <c r="T592" s="14" t="n">
        <v>11.7</v>
      </c>
      <c r="U592" s="14" t="n">
        <v>10.74</v>
      </c>
      <c r="V592" s="14" t="n">
        <v>15.26</v>
      </c>
      <c r="W592" s="14" t="n">
        <v>117.9</v>
      </c>
      <c r="X592" s="14" t="n">
        <v>144.67</v>
      </c>
      <c r="Y592" s="14" t="n">
        <v>26.76</v>
      </c>
      <c r="Z592" s="14" t="n">
        <v>2.38</v>
      </c>
      <c r="AA592" s="14" t="n">
        <v>0</v>
      </c>
      <c r="AB592" s="14" t="n">
        <v>0</v>
      </c>
      <c r="AC592" s="14" t="n">
        <v>0</v>
      </c>
      <c r="AD592" s="15" t="n">
        <f aca="false">H592*E592/1000</f>
        <v>0</v>
      </c>
      <c r="AE592" s="15" t="n">
        <f aca="false">I592*E592/1000</f>
        <v>0</v>
      </c>
      <c r="AF592" s="16" t="n">
        <f aca="false">ROUND(S592+T592+U592+V592-W592,2)</f>
        <v>0.01</v>
      </c>
      <c r="AG592" s="16" t="n">
        <f aca="false">ROUND(X592-W592-Y592,2)</f>
        <v>0.01</v>
      </c>
    </row>
    <row r="593" customFormat="false" ht="15" hidden="false" customHeight="false" outlineLevel="0" collapsed="false">
      <c r="A593" s="13" t="s">
        <v>342</v>
      </c>
      <c r="B593" s="13" t="s">
        <v>218</v>
      </c>
      <c r="C593" s="13" t="s">
        <v>241</v>
      </c>
      <c r="D593" s="13" t="s">
        <v>343</v>
      </c>
      <c r="E593" s="14" t="n">
        <v>435</v>
      </c>
      <c r="F593" s="14" t="n">
        <v>95</v>
      </c>
      <c r="G593" s="14" t="n">
        <v>41.33</v>
      </c>
      <c r="H593" s="14" t="n">
        <v>4</v>
      </c>
      <c r="I593" s="14"/>
      <c r="J593" s="14" t="n">
        <v>62.52</v>
      </c>
      <c r="K593" s="14" t="n">
        <v>55.42</v>
      </c>
      <c r="L593" s="14" t="n">
        <v>2.11</v>
      </c>
      <c r="M593" s="14" t="n">
        <v>12.97</v>
      </c>
      <c r="N593" s="14" t="n">
        <v>5</v>
      </c>
      <c r="O593" s="14"/>
      <c r="P593" s="14" t="n">
        <v>0.38</v>
      </c>
      <c r="Q593" s="14"/>
      <c r="R593" s="14"/>
      <c r="S593" s="14" t="n">
        <v>75.89</v>
      </c>
      <c r="T593" s="14" t="n">
        <v>11.75</v>
      </c>
      <c r="U593" s="14" t="n">
        <v>10.74</v>
      </c>
      <c r="V593" s="14" t="n">
        <v>14.43</v>
      </c>
      <c r="W593" s="14" t="n">
        <v>112.8</v>
      </c>
      <c r="X593" s="14" t="n">
        <v>139.73</v>
      </c>
      <c r="Y593" s="14" t="n">
        <v>26.93</v>
      </c>
      <c r="Z593" s="14" t="n">
        <v>9.9</v>
      </c>
      <c r="AA593" s="14" t="n">
        <v>0.76</v>
      </c>
      <c r="AB593" s="14" t="n">
        <v>0</v>
      </c>
      <c r="AC593" s="14" t="n">
        <v>0.47</v>
      </c>
      <c r="AD593" s="15" t="n">
        <f aca="false">H593*E593/1000</f>
        <v>1.74</v>
      </c>
      <c r="AE593" s="15" t="n">
        <f aca="false">I593*E593/1000</f>
        <v>0</v>
      </c>
      <c r="AF593" s="16" t="n">
        <f aca="false">ROUND(S593+T593+U593+V593-W593,2)</f>
        <v>0.01</v>
      </c>
      <c r="AG593" s="16" t="n">
        <f aca="false">ROUND(X593-W593-Y593,2)</f>
        <v>0</v>
      </c>
    </row>
    <row r="594" customFormat="false" ht="15" hidden="false" customHeight="false" outlineLevel="0" collapsed="false">
      <c r="A594" s="13" t="s">
        <v>342</v>
      </c>
      <c r="B594" s="13" t="s">
        <v>218</v>
      </c>
      <c r="C594" s="13" t="s">
        <v>241</v>
      </c>
      <c r="D594" s="13" t="s">
        <v>344</v>
      </c>
      <c r="E594" s="14" t="n">
        <v>355</v>
      </c>
      <c r="F594" s="14" t="n">
        <v>12</v>
      </c>
      <c r="G594" s="14" t="n">
        <v>4.26</v>
      </c>
      <c r="H594" s="14"/>
      <c r="I594" s="14"/>
      <c r="J594" s="14" t="n">
        <v>60.18</v>
      </c>
      <c r="K594" s="14" t="n">
        <v>55.7</v>
      </c>
      <c r="L594" s="14" t="n">
        <v>2.19</v>
      </c>
      <c r="M594" s="14" t="n">
        <v>16.73</v>
      </c>
      <c r="N594" s="14" t="n">
        <v>5</v>
      </c>
      <c r="O594" s="14"/>
      <c r="P594" s="14" t="n">
        <v>0.38</v>
      </c>
      <c r="Q594" s="14"/>
      <c r="R594" s="14"/>
      <c r="S594" s="14" t="n">
        <v>80</v>
      </c>
      <c r="T594" s="14" t="n">
        <v>12.2</v>
      </c>
      <c r="U594" s="14" t="n">
        <v>10.74</v>
      </c>
      <c r="V594" s="14" t="n">
        <v>14.79</v>
      </c>
      <c r="W594" s="14" t="n">
        <v>117.73</v>
      </c>
      <c r="X594" s="14" t="n">
        <v>144.67</v>
      </c>
      <c r="Y594" s="14" t="n">
        <v>26.94</v>
      </c>
      <c r="Z594" s="14" t="n">
        <v>1.15</v>
      </c>
      <c r="AA594" s="14" t="n">
        <v>0</v>
      </c>
      <c r="AB594" s="14" t="n">
        <v>0</v>
      </c>
      <c r="AC594" s="14" t="n">
        <v>0</v>
      </c>
      <c r="AD594" s="15" t="n">
        <f aca="false">H594*E594/1000</f>
        <v>0</v>
      </c>
      <c r="AE594" s="15" t="n">
        <f aca="false">I594*E594/1000</f>
        <v>0</v>
      </c>
      <c r="AF594" s="16" t="n">
        <f aca="false">ROUND(S594+T594+U594+V594-W594,2)</f>
        <v>0</v>
      </c>
      <c r="AG594" s="16" t="n">
        <f aca="false">ROUND(X594-W594-Y594,2)</f>
        <v>0</v>
      </c>
    </row>
    <row r="595" customFormat="false" ht="15" hidden="false" customHeight="false" outlineLevel="0" collapsed="false">
      <c r="A595" s="13" t="s">
        <v>342</v>
      </c>
      <c r="B595" s="13" t="s">
        <v>218</v>
      </c>
      <c r="C595" s="13" t="s">
        <v>246</v>
      </c>
      <c r="D595" s="13" t="s">
        <v>343</v>
      </c>
      <c r="E595" s="14" t="n">
        <v>435</v>
      </c>
      <c r="F595" s="14" t="n">
        <v>28</v>
      </c>
      <c r="G595" s="14" t="n">
        <v>12.18</v>
      </c>
      <c r="H595" s="14" t="n">
        <v>1</v>
      </c>
      <c r="I595" s="14"/>
      <c r="J595" s="14" t="n">
        <v>62.52</v>
      </c>
      <c r="K595" s="14" t="n">
        <v>55.39</v>
      </c>
      <c r="L595" s="14" t="n">
        <v>2.11</v>
      </c>
      <c r="M595" s="14" t="n">
        <v>12.97</v>
      </c>
      <c r="N595" s="14" t="n">
        <v>5</v>
      </c>
      <c r="O595" s="14"/>
      <c r="P595" s="14" t="n">
        <v>0.38</v>
      </c>
      <c r="Q595" s="14"/>
      <c r="R595" s="14"/>
      <c r="S595" s="14" t="n">
        <v>75.85</v>
      </c>
      <c r="T595" s="14" t="n">
        <v>11.75</v>
      </c>
      <c r="U595" s="14" t="n">
        <v>7.74</v>
      </c>
      <c r="V595" s="14" t="n">
        <v>14.43</v>
      </c>
      <c r="W595" s="14" t="n">
        <v>109.76</v>
      </c>
      <c r="X595" s="14" t="n">
        <v>139.73</v>
      </c>
      <c r="Y595" s="14" t="n">
        <v>29.97</v>
      </c>
      <c r="Z595" s="14" t="n">
        <v>3.34</v>
      </c>
      <c r="AA595" s="14" t="n">
        <v>0.18</v>
      </c>
      <c r="AB595" s="14" t="n">
        <v>0</v>
      </c>
      <c r="AC595" s="14" t="n">
        <v>0.13</v>
      </c>
      <c r="AD595" s="15" t="n">
        <f aca="false">H595*E595/1000</f>
        <v>0.435</v>
      </c>
      <c r="AE595" s="15" t="n">
        <f aca="false">I595*E595/1000</f>
        <v>0</v>
      </c>
      <c r="AF595" s="16" t="n">
        <f aca="false">ROUND(S595+T595+U595+V595-W595,2)</f>
        <v>0.01</v>
      </c>
      <c r="AG595" s="16" t="n">
        <f aca="false">ROUND(X595-W595-Y595,2)</f>
        <v>0</v>
      </c>
    </row>
    <row r="596" customFormat="false" ht="15" hidden="false" customHeight="false" outlineLevel="0" collapsed="false">
      <c r="A596" s="13" t="s">
        <v>342</v>
      </c>
      <c r="B596" s="13" t="s">
        <v>256</v>
      </c>
      <c r="C596" s="13" t="s">
        <v>219</v>
      </c>
      <c r="D596" s="13" t="s">
        <v>343</v>
      </c>
      <c r="E596" s="14" t="n">
        <v>435</v>
      </c>
      <c r="F596" s="14" t="n">
        <v>20</v>
      </c>
      <c r="G596" s="14" t="n">
        <v>8.7</v>
      </c>
      <c r="H596" s="14" t="n">
        <v>1</v>
      </c>
      <c r="I596" s="14"/>
      <c r="J596" s="14" t="n">
        <v>62.52</v>
      </c>
      <c r="K596" s="14" t="n">
        <v>55.05</v>
      </c>
      <c r="L596" s="14" t="n">
        <v>2.11</v>
      </c>
      <c r="M596" s="14" t="n">
        <v>12.97</v>
      </c>
      <c r="N596" s="14" t="n">
        <v>5</v>
      </c>
      <c r="O596" s="14"/>
      <c r="P596" s="14" t="n">
        <v>0.38</v>
      </c>
      <c r="Q596" s="14"/>
      <c r="R596" s="14"/>
      <c r="S596" s="14" t="n">
        <v>75.51</v>
      </c>
      <c r="T596" s="14" t="n">
        <v>11.75</v>
      </c>
      <c r="U596" s="14" t="n">
        <v>7.74</v>
      </c>
      <c r="V596" s="14" t="n">
        <v>14.43</v>
      </c>
      <c r="W596" s="14" t="n">
        <v>109.42</v>
      </c>
      <c r="X596" s="14" t="n">
        <v>139.73</v>
      </c>
      <c r="Y596" s="14" t="n">
        <v>30.31</v>
      </c>
      <c r="Z596" s="14" t="n">
        <v>2.32</v>
      </c>
      <c r="AA596" s="14" t="n">
        <v>0.18</v>
      </c>
      <c r="AB596" s="14" t="n">
        <v>0</v>
      </c>
      <c r="AC596" s="14" t="n">
        <v>0.13</v>
      </c>
      <c r="AD596" s="15" t="n">
        <f aca="false">H596*E596/1000</f>
        <v>0.435</v>
      </c>
      <c r="AE596" s="15" t="n">
        <f aca="false">I596*E596/1000</f>
        <v>0</v>
      </c>
      <c r="AF596" s="16" t="n">
        <f aca="false">ROUND(S596+T596+U596+V596-W596,2)</f>
        <v>0.01</v>
      </c>
      <c r="AG596" s="16" t="n">
        <f aca="false">ROUND(X596-W596-Y596,2)</f>
        <v>0</v>
      </c>
    </row>
    <row r="597" customFormat="false" ht="15" hidden="false" customHeight="false" outlineLevel="0" collapsed="false">
      <c r="A597" s="13" t="s">
        <v>342</v>
      </c>
      <c r="B597" s="13" t="s">
        <v>256</v>
      </c>
      <c r="C597" s="13" t="s">
        <v>259</v>
      </c>
      <c r="D597" s="13" t="s">
        <v>343</v>
      </c>
      <c r="E597" s="14" t="n">
        <v>435</v>
      </c>
      <c r="F597" s="14" t="n">
        <v>10</v>
      </c>
      <c r="G597" s="14" t="n">
        <v>4.35</v>
      </c>
      <c r="H597" s="14"/>
      <c r="I597" s="14"/>
      <c r="J597" s="14" t="n">
        <v>62.52</v>
      </c>
      <c r="K597" s="14" t="n">
        <v>54.68</v>
      </c>
      <c r="L597" s="14" t="n">
        <v>2.11</v>
      </c>
      <c r="M597" s="14" t="n">
        <v>15.27</v>
      </c>
      <c r="N597" s="14" t="n">
        <v>5</v>
      </c>
      <c r="O597" s="14"/>
      <c r="P597" s="14" t="n">
        <v>0.38</v>
      </c>
      <c r="Q597" s="14"/>
      <c r="R597" s="14"/>
      <c r="S597" s="14" t="n">
        <v>77.44</v>
      </c>
      <c r="T597" s="14" t="n">
        <v>11.75</v>
      </c>
      <c r="U597" s="14" t="n">
        <v>8.65</v>
      </c>
      <c r="V597" s="14" t="n">
        <v>15.52</v>
      </c>
      <c r="W597" s="14" t="n">
        <v>113.35</v>
      </c>
      <c r="X597" s="14" t="n">
        <v>139.73</v>
      </c>
      <c r="Y597" s="14" t="n">
        <v>26.38</v>
      </c>
      <c r="Z597" s="14" t="n">
        <v>1.15</v>
      </c>
      <c r="AA597" s="14" t="n">
        <v>0</v>
      </c>
      <c r="AB597" s="14" t="n">
        <v>0</v>
      </c>
      <c r="AC597" s="14" t="n">
        <v>0</v>
      </c>
      <c r="AD597" s="15" t="n">
        <f aca="false">H597*E597/1000</f>
        <v>0</v>
      </c>
      <c r="AE597" s="15" t="n">
        <f aca="false">I597*E597/1000</f>
        <v>0</v>
      </c>
      <c r="AF597" s="16" t="n">
        <f aca="false">ROUND(S597+T597+U597+V597-W597,2)</f>
        <v>0.01</v>
      </c>
      <c r="AG597" s="16" t="n">
        <f aca="false">ROUND(X597-W597-Y597,2)</f>
        <v>0</v>
      </c>
    </row>
    <row r="598" customFormat="false" ht="15" hidden="false" customHeight="false" outlineLevel="0" collapsed="false">
      <c r="A598" s="13" t="s">
        <v>342</v>
      </c>
      <c r="B598" s="13" t="s">
        <v>256</v>
      </c>
      <c r="C598" s="13" t="s">
        <v>259</v>
      </c>
      <c r="D598" s="13" t="s">
        <v>344</v>
      </c>
      <c r="E598" s="14" t="n">
        <v>355</v>
      </c>
      <c r="F598" s="14" t="n">
        <v>25</v>
      </c>
      <c r="G598" s="14" t="n">
        <v>8.88</v>
      </c>
      <c r="H598" s="14"/>
      <c r="I598" s="14"/>
      <c r="J598" s="14" t="n">
        <v>60.18</v>
      </c>
      <c r="K598" s="14" t="n">
        <v>54.95</v>
      </c>
      <c r="L598" s="14" t="n">
        <v>2.19</v>
      </c>
      <c r="M598" s="14" t="n">
        <v>19.73</v>
      </c>
      <c r="N598" s="14" t="n">
        <v>5</v>
      </c>
      <c r="O598" s="14"/>
      <c r="P598" s="14" t="n">
        <v>0.38</v>
      </c>
      <c r="Q598" s="14"/>
      <c r="R598" s="14"/>
      <c r="S598" s="14" t="n">
        <v>82.25</v>
      </c>
      <c r="T598" s="14" t="n">
        <v>12.2</v>
      </c>
      <c r="U598" s="14" t="n">
        <v>8.65</v>
      </c>
      <c r="V598" s="14" t="n">
        <v>15.9</v>
      </c>
      <c r="W598" s="14" t="n">
        <v>119</v>
      </c>
      <c r="X598" s="14" t="n">
        <v>144.67</v>
      </c>
      <c r="Y598" s="14" t="n">
        <v>25.67</v>
      </c>
      <c r="Z598" s="14" t="n">
        <v>2.28</v>
      </c>
      <c r="AA598" s="14" t="n">
        <v>0</v>
      </c>
      <c r="AB598" s="14" t="n">
        <v>0</v>
      </c>
      <c r="AC598" s="14" t="n">
        <v>0</v>
      </c>
      <c r="AD598" s="15" t="n">
        <f aca="false">H598*E598/1000</f>
        <v>0</v>
      </c>
      <c r="AE598" s="15" t="n">
        <f aca="false">I598*E598/1000</f>
        <v>0</v>
      </c>
      <c r="AF598" s="16" t="n">
        <f aca="false">ROUND(S598+T598+U598+V598-W598,2)</f>
        <v>0</v>
      </c>
      <c r="AG598" s="16" t="n">
        <f aca="false">ROUND(X598-W598-Y598,2)</f>
        <v>0</v>
      </c>
    </row>
    <row r="599" customFormat="false" ht="15" hidden="false" customHeight="false" outlineLevel="0" collapsed="false">
      <c r="A599" s="13" t="s">
        <v>342</v>
      </c>
      <c r="B599" s="13" t="s">
        <v>256</v>
      </c>
      <c r="C599" s="13" t="s">
        <v>263</v>
      </c>
      <c r="D599" s="13" t="s">
        <v>344</v>
      </c>
      <c r="E599" s="14" t="n">
        <v>355</v>
      </c>
      <c r="F599" s="14" t="n">
        <v>5</v>
      </c>
      <c r="G599" s="14" t="n">
        <v>1.78</v>
      </c>
      <c r="H599" s="14" t="n">
        <v>4</v>
      </c>
      <c r="I599" s="14"/>
      <c r="J599" s="14" t="n">
        <v>60.18</v>
      </c>
      <c r="K599" s="14" t="n">
        <v>54.51</v>
      </c>
      <c r="L599" s="14" t="n">
        <v>2.19</v>
      </c>
      <c r="M599" s="14" t="n">
        <v>17.47</v>
      </c>
      <c r="N599" s="14" t="n">
        <v>5</v>
      </c>
      <c r="O599" s="14"/>
      <c r="P599" s="14" t="n">
        <v>0.38</v>
      </c>
      <c r="Q599" s="14"/>
      <c r="R599" s="14"/>
      <c r="S599" s="14" t="n">
        <v>79.56</v>
      </c>
      <c r="T599" s="14" t="n">
        <v>12.2</v>
      </c>
      <c r="U599" s="14" t="n">
        <v>8.65</v>
      </c>
      <c r="V599" s="14" t="n">
        <v>15.9</v>
      </c>
      <c r="W599" s="14" t="n">
        <v>116.31</v>
      </c>
      <c r="X599" s="14" t="n">
        <v>152.68</v>
      </c>
      <c r="Y599" s="14" t="n">
        <v>36.37</v>
      </c>
      <c r="Z599" s="14" t="n">
        <v>-0.55</v>
      </c>
      <c r="AA599" s="14" t="n">
        <v>0.67</v>
      </c>
      <c r="AB599" s="14" t="n">
        <v>0</v>
      </c>
      <c r="AC599" s="14" t="n">
        <v>0.52</v>
      </c>
      <c r="AD599" s="15" t="n">
        <f aca="false">H599*E599/1000</f>
        <v>1.42</v>
      </c>
      <c r="AE599" s="15" t="n">
        <f aca="false">I599*E599/1000</f>
        <v>0</v>
      </c>
      <c r="AF599" s="16" t="n">
        <f aca="false">ROUND(S599+T599+U599+V599-W599,2)</f>
        <v>0</v>
      </c>
      <c r="AG599" s="16" t="n">
        <f aca="false">ROUND(X599-W599-Y599,2)</f>
        <v>0</v>
      </c>
    </row>
    <row r="600" customFormat="false" ht="15" hidden="false" customHeight="false" outlineLevel="0" collapsed="false">
      <c r="A600" s="13" t="s">
        <v>342</v>
      </c>
      <c r="B600" s="13" t="s">
        <v>256</v>
      </c>
      <c r="C600" s="13" t="s">
        <v>268</v>
      </c>
      <c r="D600" s="13" t="s">
        <v>344</v>
      </c>
      <c r="E600" s="14" t="n">
        <v>355</v>
      </c>
      <c r="F600" s="14" t="n">
        <v>30</v>
      </c>
      <c r="G600" s="14" t="n">
        <v>10.65</v>
      </c>
      <c r="H600" s="14"/>
      <c r="I600" s="14"/>
      <c r="J600" s="14" t="n">
        <v>60.18</v>
      </c>
      <c r="K600" s="14" t="n">
        <v>53.58</v>
      </c>
      <c r="L600" s="14" t="n">
        <v>4.12</v>
      </c>
      <c r="M600" s="14" t="n">
        <v>21.26</v>
      </c>
      <c r="N600" s="14" t="n">
        <v>4.76</v>
      </c>
      <c r="O600" s="14"/>
      <c r="P600" s="14" t="n">
        <v>0.38</v>
      </c>
      <c r="Q600" s="14"/>
      <c r="R600" s="14"/>
      <c r="S600" s="14" t="n">
        <v>84.1</v>
      </c>
      <c r="T600" s="14" t="n">
        <v>12.2</v>
      </c>
      <c r="U600" s="14" t="n">
        <v>10.86</v>
      </c>
      <c r="V600" s="14" t="n">
        <v>17.68</v>
      </c>
      <c r="W600" s="14" t="n">
        <v>124.83</v>
      </c>
      <c r="X600" s="14" t="n">
        <v>152.68</v>
      </c>
      <c r="Y600" s="14" t="n">
        <v>27.84</v>
      </c>
      <c r="Z600" s="14" t="n">
        <v>2.97</v>
      </c>
      <c r="AA600" s="14" t="n">
        <v>0</v>
      </c>
      <c r="AB600" s="14" t="n">
        <v>0</v>
      </c>
      <c r="AC600" s="14" t="n">
        <v>0</v>
      </c>
      <c r="AD600" s="15" t="n">
        <f aca="false">H600*E600/1000</f>
        <v>0</v>
      </c>
      <c r="AE600" s="15" t="n">
        <f aca="false">I600*E600/1000</f>
        <v>0</v>
      </c>
      <c r="AF600" s="16" t="n">
        <f aca="false">ROUND(S600+T600+U600+V600-W600,2)</f>
        <v>0.01</v>
      </c>
      <c r="AG600" s="16" t="n">
        <f aca="false">ROUND(X600-W600-Y600,2)</f>
        <v>0.01</v>
      </c>
    </row>
    <row r="601" customFormat="false" ht="15" hidden="false" customHeight="false" outlineLevel="0" collapsed="false">
      <c r="A601" s="13" t="s">
        <v>342</v>
      </c>
      <c r="B601" s="13" t="s">
        <v>256</v>
      </c>
      <c r="C601" s="13" t="s">
        <v>269</v>
      </c>
      <c r="D601" s="13" t="s">
        <v>343</v>
      </c>
      <c r="E601" s="14" t="n">
        <v>435</v>
      </c>
      <c r="F601" s="14" t="n">
        <v>31</v>
      </c>
      <c r="G601" s="14" t="n">
        <v>13.49</v>
      </c>
      <c r="H601" s="14" t="n">
        <v>1</v>
      </c>
      <c r="I601" s="14"/>
      <c r="J601" s="14" t="n">
        <v>62.52</v>
      </c>
      <c r="K601" s="14" t="n">
        <v>51.59</v>
      </c>
      <c r="L601" s="14" t="n">
        <v>1.82</v>
      </c>
      <c r="M601" s="14" t="n">
        <v>14.89</v>
      </c>
      <c r="N601" s="14" t="n">
        <v>4.76</v>
      </c>
      <c r="O601" s="14"/>
      <c r="P601" s="14" t="n">
        <v>0.38</v>
      </c>
      <c r="Q601" s="14"/>
      <c r="R601" s="14"/>
      <c r="S601" s="14" t="n">
        <v>73.44</v>
      </c>
      <c r="T601" s="14" t="n">
        <v>11.75</v>
      </c>
      <c r="U601" s="14" t="n">
        <v>10.86</v>
      </c>
      <c r="V601" s="14" t="n">
        <v>17.25</v>
      </c>
      <c r="W601" s="14" t="n">
        <v>113.3</v>
      </c>
      <c r="X601" s="14" t="n">
        <v>124.71</v>
      </c>
      <c r="Y601" s="14" t="n">
        <v>11.41</v>
      </c>
      <c r="Z601" s="14" t="n">
        <v>1.29</v>
      </c>
      <c r="AA601" s="14" t="n">
        <v>0.2</v>
      </c>
      <c r="AB601" s="14" t="n">
        <v>0</v>
      </c>
      <c r="AC601" s="14" t="n">
        <v>0.05</v>
      </c>
      <c r="AD601" s="15" t="n">
        <f aca="false">H601*E601/1000</f>
        <v>0.435</v>
      </c>
      <c r="AE601" s="15" t="n">
        <f aca="false">I601*E601/1000</f>
        <v>0</v>
      </c>
      <c r="AF601" s="16" t="n">
        <f aca="false">ROUND(S601+T601+U601+V601-W601,2)</f>
        <v>0</v>
      </c>
      <c r="AG601" s="16" t="n">
        <f aca="false">ROUND(X601-W601-Y601,2)</f>
        <v>0</v>
      </c>
    </row>
    <row r="602" customFormat="false" ht="15" hidden="false" customHeight="false" outlineLevel="0" collapsed="false">
      <c r="A602" s="13" t="s">
        <v>342</v>
      </c>
      <c r="B602" s="13" t="s">
        <v>256</v>
      </c>
      <c r="C602" s="13" t="s">
        <v>269</v>
      </c>
      <c r="D602" s="13" t="s">
        <v>344</v>
      </c>
      <c r="E602" s="14" t="n">
        <v>355</v>
      </c>
      <c r="F602" s="14" t="n">
        <v>16</v>
      </c>
      <c r="G602" s="14" t="n">
        <v>5.68</v>
      </c>
      <c r="H602" s="14"/>
      <c r="I602" s="14"/>
      <c r="J602" s="14" t="n">
        <v>60.18</v>
      </c>
      <c r="K602" s="14" t="n">
        <v>51.85</v>
      </c>
      <c r="L602" s="14" t="n">
        <v>1.89</v>
      </c>
      <c r="M602" s="14" t="n">
        <v>19.24</v>
      </c>
      <c r="N602" s="14" t="n">
        <v>4.76</v>
      </c>
      <c r="O602" s="14"/>
      <c r="P602" s="14" t="n">
        <v>0.38</v>
      </c>
      <c r="Q602" s="14"/>
      <c r="R602" s="14"/>
      <c r="S602" s="14" t="n">
        <v>78.12</v>
      </c>
      <c r="T602" s="14" t="n">
        <v>12.2</v>
      </c>
      <c r="U602" s="14" t="n">
        <v>10.86</v>
      </c>
      <c r="V602" s="14" t="n">
        <v>17.68</v>
      </c>
      <c r="W602" s="14" t="n">
        <v>118.85</v>
      </c>
      <c r="X602" s="14" t="n">
        <v>152.68</v>
      </c>
      <c r="Y602" s="14" t="n">
        <v>33.82</v>
      </c>
      <c r="Z602" s="14" t="n">
        <v>1.92</v>
      </c>
      <c r="AA602" s="14" t="n">
        <v>0</v>
      </c>
      <c r="AB602" s="14" t="n">
        <v>0</v>
      </c>
      <c r="AC602" s="14" t="n">
        <v>0</v>
      </c>
      <c r="AD602" s="15" t="n">
        <f aca="false">H602*E602/1000</f>
        <v>0</v>
      </c>
      <c r="AE602" s="15" t="n">
        <f aca="false">I602*E602/1000</f>
        <v>0</v>
      </c>
      <c r="AF602" s="16" t="n">
        <f aca="false">ROUND(S602+T602+U602+V602-W602,2)</f>
        <v>0.01</v>
      </c>
      <c r="AG602" s="16" t="n">
        <f aca="false">ROUND(X602-W602-Y602,2)</f>
        <v>0.01</v>
      </c>
    </row>
    <row r="603" customFormat="false" ht="15" hidden="false" customHeight="false" outlineLevel="0" collapsed="false">
      <c r="A603" s="13" t="s">
        <v>342</v>
      </c>
      <c r="B603" s="13" t="s">
        <v>256</v>
      </c>
      <c r="C603" s="13" t="s">
        <v>235</v>
      </c>
      <c r="D603" s="13" t="s">
        <v>344</v>
      </c>
      <c r="E603" s="14" t="n">
        <v>355</v>
      </c>
      <c r="F603" s="14" t="n">
        <v>15</v>
      </c>
      <c r="G603" s="14" t="n">
        <v>5.33</v>
      </c>
      <c r="H603" s="14"/>
      <c r="I603" s="14"/>
      <c r="J603" s="14" t="n">
        <v>60.18</v>
      </c>
      <c r="K603" s="14" t="n">
        <v>51.68</v>
      </c>
      <c r="L603" s="14" t="n">
        <v>3.49</v>
      </c>
      <c r="M603" s="14" t="n">
        <v>14.98</v>
      </c>
      <c r="N603" s="14" t="n">
        <v>6.63</v>
      </c>
      <c r="O603" s="14"/>
      <c r="P603" s="14" t="n">
        <v>0.38</v>
      </c>
      <c r="Q603" s="14"/>
      <c r="R603" s="14"/>
      <c r="S603" s="14" t="n">
        <v>77.16</v>
      </c>
      <c r="T603" s="14" t="n">
        <v>12.2</v>
      </c>
      <c r="U603" s="14" t="n">
        <v>10.86</v>
      </c>
      <c r="V603" s="14" t="n">
        <v>17.68</v>
      </c>
      <c r="W603" s="14" t="n">
        <v>117.9</v>
      </c>
      <c r="X603" s="14" t="n">
        <v>152.68</v>
      </c>
      <c r="Y603" s="14" t="n">
        <v>34.78</v>
      </c>
      <c r="Z603" s="14" t="n">
        <v>1.85</v>
      </c>
      <c r="AA603" s="14" t="n">
        <v>0</v>
      </c>
      <c r="AB603" s="14" t="n">
        <v>0</v>
      </c>
      <c r="AC603" s="14" t="n">
        <v>0</v>
      </c>
      <c r="AD603" s="15" t="n">
        <f aca="false">H603*E603/1000</f>
        <v>0</v>
      </c>
      <c r="AE603" s="15" t="n">
        <f aca="false">I603*E603/1000</f>
        <v>0</v>
      </c>
      <c r="AF603" s="16" t="n">
        <f aca="false">ROUND(S603+T603+U603+V603-W603,2)</f>
        <v>0</v>
      </c>
      <c r="AG603" s="16" t="n">
        <f aca="false">ROUND(X603-W603-Y603,2)</f>
        <v>0</v>
      </c>
    </row>
    <row r="604" customFormat="false" ht="15" hidden="false" customHeight="false" outlineLevel="0" collapsed="false">
      <c r="A604" s="13" t="s">
        <v>342</v>
      </c>
      <c r="B604" s="13" t="s">
        <v>256</v>
      </c>
      <c r="C604" s="13" t="s">
        <v>240</v>
      </c>
      <c r="D604" s="13" t="s">
        <v>344</v>
      </c>
      <c r="E604" s="14" t="n">
        <v>355</v>
      </c>
      <c r="F604" s="14" t="n">
        <v>10</v>
      </c>
      <c r="G604" s="14" t="n">
        <v>3.55</v>
      </c>
      <c r="H604" s="14"/>
      <c r="I604" s="14"/>
      <c r="J604" s="14" t="n">
        <v>60.18</v>
      </c>
      <c r="K604" s="14" t="n">
        <v>51.41</v>
      </c>
      <c r="L604" s="14" t="n">
        <v>2.6</v>
      </c>
      <c r="M604" s="14" t="n">
        <v>18.56</v>
      </c>
      <c r="N604" s="14" t="n">
        <v>8.74</v>
      </c>
      <c r="O604" s="14"/>
      <c r="P604" s="14" t="n">
        <v>0.38</v>
      </c>
      <c r="Q604" s="14"/>
      <c r="R604" s="14"/>
      <c r="S604" s="14" t="n">
        <v>81.68</v>
      </c>
      <c r="T604" s="14" t="n">
        <v>12.2</v>
      </c>
      <c r="U604" s="14" t="n">
        <v>10.86</v>
      </c>
      <c r="V604" s="14" t="n">
        <v>17.68</v>
      </c>
      <c r="W604" s="14" t="n">
        <v>122.42</v>
      </c>
      <c r="X604" s="14" t="n">
        <v>152.68</v>
      </c>
      <c r="Y604" s="14" t="n">
        <v>30.26</v>
      </c>
      <c r="Z604" s="14" t="n">
        <v>1.07</v>
      </c>
      <c r="AA604" s="14" t="n">
        <v>0</v>
      </c>
      <c r="AB604" s="14" t="n">
        <v>0</v>
      </c>
      <c r="AC604" s="14" t="n">
        <v>0</v>
      </c>
      <c r="AD604" s="15" t="n">
        <f aca="false">H604*E604/1000</f>
        <v>0</v>
      </c>
      <c r="AE604" s="15" t="n">
        <f aca="false">I604*E604/1000</f>
        <v>0</v>
      </c>
      <c r="AF604" s="16" t="n">
        <f aca="false">ROUND(S604+T604+U604+V604-W604,2)</f>
        <v>0</v>
      </c>
      <c r="AG604" s="16" t="n">
        <f aca="false">ROUND(X604-W604-Y604,2)</f>
        <v>0</v>
      </c>
    </row>
    <row r="605" customFormat="false" ht="15" hidden="false" customHeight="false" outlineLevel="0" collapsed="false">
      <c r="A605" s="13" t="s">
        <v>342</v>
      </c>
      <c r="B605" s="13" t="s">
        <v>256</v>
      </c>
      <c r="C605" s="13" t="s">
        <v>241</v>
      </c>
      <c r="D605" s="13" t="s">
        <v>344</v>
      </c>
      <c r="E605" s="14" t="n">
        <v>355</v>
      </c>
      <c r="F605" s="14" t="n">
        <v>53</v>
      </c>
      <c r="G605" s="14" t="n">
        <v>18.82</v>
      </c>
      <c r="H605" s="14"/>
      <c r="I605" s="14"/>
      <c r="J605" s="14" t="n">
        <v>60.18</v>
      </c>
      <c r="K605" s="14" t="n">
        <v>50.88</v>
      </c>
      <c r="L605" s="14" t="n">
        <v>2.6</v>
      </c>
      <c r="M605" s="14" t="n">
        <v>22.18</v>
      </c>
      <c r="N605" s="14" t="n">
        <v>3.88</v>
      </c>
      <c r="O605" s="14"/>
      <c r="P605" s="14" t="n">
        <v>0.38</v>
      </c>
      <c r="Q605" s="14"/>
      <c r="R605" s="14"/>
      <c r="S605" s="14" t="n">
        <v>79.92</v>
      </c>
      <c r="T605" s="14" t="n">
        <v>12.2</v>
      </c>
      <c r="U605" s="14" t="n">
        <v>11.87</v>
      </c>
      <c r="V605" s="14" t="n">
        <v>18.12</v>
      </c>
      <c r="W605" s="14" t="n">
        <v>122.1</v>
      </c>
      <c r="X605" s="14" t="n">
        <v>152.68</v>
      </c>
      <c r="Y605" s="14" t="n">
        <v>30.57</v>
      </c>
      <c r="Z605" s="14" t="n">
        <v>5.75</v>
      </c>
      <c r="AA605" s="14" t="n">
        <v>0</v>
      </c>
      <c r="AB605" s="14" t="n">
        <v>0</v>
      </c>
      <c r="AC605" s="14" t="n">
        <v>0</v>
      </c>
      <c r="AD605" s="15" t="n">
        <f aca="false">H605*E605/1000</f>
        <v>0</v>
      </c>
      <c r="AE605" s="15" t="n">
        <f aca="false">I605*E605/1000</f>
        <v>0</v>
      </c>
      <c r="AF605" s="16" t="n">
        <f aca="false">ROUND(S605+T605+U605+V605-W605,2)</f>
        <v>0.01</v>
      </c>
      <c r="AG605" s="16" t="n">
        <f aca="false">ROUND(X605-W605-Y605,2)</f>
        <v>0.01</v>
      </c>
    </row>
    <row r="606" customFormat="false" ht="15" hidden="false" customHeight="false" outlineLevel="0" collapsed="false">
      <c r="A606" s="13" t="s">
        <v>342</v>
      </c>
      <c r="B606" s="13" t="s">
        <v>256</v>
      </c>
      <c r="C606" s="13" t="s">
        <v>246</v>
      </c>
      <c r="D606" s="13" t="s">
        <v>343</v>
      </c>
      <c r="E606" s="14" t="n">
        <v>435</v>
      </c>
      <c r="F606" s="14" t="n">
        <v>18</v>
      </c>
      <c r="G606" s="14" t="n">
        <v>7.83</v>
      </c>
      <c r="H606" s="14"/>
      <c r="I606" s="14"/>
      <c r="J606" s="14" t="n">
        <v>62.52</v>
      </c>
      <c r="K606" s="14" t="n">
        <v>49.76</v>
      </c>
      <c r="L606" s="14" t="n">
        <v>1.89</v>
      </c>
      <c r="M606" s="14" t="n">
        <v>12.53</v>
      </c>
      <c r="N606" s="14" t="n">
        <v>5.49</v>
      </c>
      <c r="O606" s="14"/>
      <c r="P606" s="14" t="n">
        <v>0.38</v>
      </c>
      <c r="Q606" s="14"/>
      <c r="R606" s="14"/>
      <c r="S606" s="14" t="n">
        <v>70.06</v>
      </c>
      <c r="T606" s="14" t="n">
        <v>11.75</v>
      </c>
      <c r="U606" s="14" t="n">
        <v>10.65</v>
      </c>
      <c r="V606" s="14" t="n">
        <v>16.24</v>
      </c>
      <c r="W606" s="14" t="n">
        <v>108.69</v>
      </c>
      <c r="X606" s="14" t="n">
        <v>152.18</v>
      </c>
      <c r="Y606" s="14" t="n">
        <v>43.49</v>
      </c>
      <c r="Z606" s="14" t="n">
        <v>3.41</v>
      </c>
      <c r="AA606" s="14" t="n">
        <v>0</v>
      </c>
      <c r="AB606" s="14" t="n">
        <v>0</v>
      </c>
      <c r="AC606" s="14" t="n">
        <v>0</v>
      </c>
      <c r="AD606" s="15" t="n">
        <f aca="false">H606*E606/1000</f>
        <v>0</v>
      </c>
      <c r="AE606" s="15" t="n">
        <f aca="false">I606*E606/1000</f>
        <v>0</v>
      </c>
      <c r="AF606" s="16" t="n">
        <f aca="false">ROUND(S606+T606+U606+V606-W606,2)</f>
        <v>0.01</v>
      </c>
      <c r="AG606" s="16" t="n">
        <f aca="false">ROUND(X606-W606-Y606,2)</f>
        <v>0</v>
      </c>
    </row>
    <row r="607" customFormat="false" ht="15" hidden="false" customHeight="false" outlineLevel="0" collapsed="false">
      <c r="A607" s="13" t="s">
        <v>342</v>
      </c>
      <c r="B607" s="13" t="s">
        <v>256</v>
      </c>
      <c r="C607" s="13" t="s">
        <v>246</v>
      </c>
      <c r="D607" s="13" t="s">
        <v>344</v>
      </c>
      <c r="E607" s="14" t="n">
        <v>355</v>
      </c>
      <c r="F607" s="14" t="n">
        <v>7</v>
      </c>
      <c r="G607" s="14" t="n">
        <v>2.49</v>
      </c>
      <c r="H607" s="14"/>
      <c r="I607" s="14"/>
      <c r="J607" s="14" t="n">
        <v>60.18</v>
      </c>
      <c r="K607" s="14" t="n">
        <v>50.01</v>
      </c>
      <c r="L607" s="14" t="n">
        <v>1.97</v>
      </c>
      <c r="M607" s="14" t="n">
        <v>16.16</v>
      </c>
      <c r="N607" s="14" t="n">
        <v>5.49</v>
      </c>
      <c r="O607" s="14"/>
      <c r="P607" s="14" t="n">
        <v>0.38</v>
      </c>
      <c r="Q607" s="14"/>
      <c r="R607" s="14"/>
      <c r="S607" s="14" t="n">
        <v>74.01</v>
      </c>
      <c r="T607" s="14" t="n">
        <v>12.2</v>
      </c>
      <c r="U607" s="14" t="n">
        <v>10.65</v>
      </c>
      <c r="V607" s="14" t="n">
        <v>16.64</v>
      </c>
      <c r="W607" s="14" t="n">
        <v>113.5</v>
      </c>
      <c r="X607" s="14" t="n">
        <v>152.68</v>
      </c>
      <c r="Y607" s="14" t="n">
        <v>39.18</v>
      </c>
      <c r="Z607" s="14" t="n">
        <v>0.97</v>
      </c>
      <c r="AA607" s="14" t="n">
        <v>0</v>
      </c>
      <c r="AB607" s="14" t="n">
        <v>0</v>
      </c>
      <c r="AC607" s="14" t="n">
        <v>0</v>
      </c>
      <c r="AD607" s="15" t="n">
        <f aca="false">H607*E607/1000</f>
        <v>0</v>
      </c>
      <c r="AE607" s="15" t="n">
        <f aca="false">I607*E607/1000</f>
        <v>0</v>
      </c>
      <c r="AF607" s="16" t="n">
        <f aca="false">ROUND(S607+T607+U607+V607-W607,2)</f>
        <v>0</v>
      </c>
      <c r="AG607" s="16" t="n">
        <f aca="false">ROUND(X607-W607-Y607,2)</f>
        <v>0</v>
      </c>
    </row>
    <row r="608" customFormat="false" ht="15" hidden="false" customHeight="false" outlineLevel="0" collapsed="false">
      <c r="A608" s="13" t="s">
        <v>342</v>
      </c>
      <c r="B608" s="13" t="s">
        <v>277</v>
      </c>
      <c r="C608" s="13" t="s">
        <v>219</v>
      </c>
      <c r="D608" s="13" t="s">
        <v>343</v>
      </c>
      <c r="E608" s="14" t="n">
        <v>435</v>
      </c>
      <c r="F608" s="14" t="n">
        <v>5</v>
      </c>
      <c r="G608" s="14" t="n">
        <v>2.18</v>
      </c>
      <c r="H608" s="14" t="n">
        <v>1</v>
      </c>
      <c r="I608" s="14"/>
      <c r="J608" s="14" t="n">
        <v>62.52</v>
      </c>
      <c r="K608" s="14" t="n">
        <v>48.23</v>
      </c>
      <c r="L608" s="14" t="n">
        <v>2.69</v>
      </c>
      <c r="M608" s="14" t="n">
        <v>14.4</v>
      </c>
      <c r="N608" s="14" t="n">
        <v>5</v>
      </c>
      <c r="O608" s="14"/>
      <c r="P608" s="14" t="n">
        <v>0.38</v>
      </c>
      <c r="Q608" s="14"/>
      <c r="R608" s="14"/>
      <c r="S608" s="14" t="n">
        <v>70.69</v>
      </c>
      <c r="T608" s="14" t="n">
        <v>11.75</v>
      </c>
      <c r="U608" s="14" t="n">
        <v>10.65</v>
      </c>
      <c r="V608" s="14" t="n">
        <v>16.24</v>
      </c>
      <c r="W608" s="14" t="n">
        <v>109.33</v>
      </c>
      <c r="X608" s="14" t="n">
        <v>152.18</v>
      </c>
      <c r="Y608" s="14" t="n">
        <v>42.86</v>
      </c>
      <c r="Z608" s="14" t="n">
        <v>0.52</v>
      </c>
      <c r="AA608" s="14" t="n">
        <v>0.22</v>
      </c>
      <c r="AB608" s="14" t="n">
        <v>0</v>
      </c>
      <c r="AC608" s="14" t="n">
        <v>0.19</v>
      </c>
      <c r="AD608" s="15" t="n">
        <f aca="false">H608*E608/1000</f>
        <v>0.435</v>
      </c>
      <c r="AE608" s="15" t="n">
        <f aca="false">I608*E608/1000</f>
        <v>0</v>
      </c>
      <c r="AF608" s="16" t="n">
        <f aca="false">ROUND(S608+T608+U608+V608-W608,2)</f>
        <v>0</v>
      </c>
      <c r="AG608" s="16" t="n">
        <f aca="false">ROUND(X608-W608-Y608,2)</f>
        <v>-0.01</v>
      </c>
    </row>
    <row r="609" customFormat="false" ht="15" hidden="false" customHeight="false" outlineLevel="0" collapsed="false">
      <c r="A609" s="13" t="s">
        <v>342</v>
      </c>
      <c r="B609" s="13" t="s">
        <v>277</v>
      </c>
      <c r="C609" s="13" t="s">
        <v>219</v>
      </c>
      <c r="D609" s="13" t="s">
        <v>344</v>
      </c>
      <c r="E609" s="14" t="n">
        <v>355</v>
      </c>
      <c r="F609" s="14" t="n">
        <v>1</v>
      </c>
      <c r="G609" s="14" t="n">
        <v>0.36</v>
      </c>
      <c r="H609" s="14"/>
      <c r="I609" s="14"/>
      <c r="J609" s="14" t="n">
        <v>60.18</v>
      </c>
      <c r="K609" s="14" t="n">
        <v>48.47</v>
      </c>
      <c r="L609" s="14" t="n">
        <v>2.79</v>
      </c>
      <c r="M609" s="14" t="n">
        <v>18.59</v>
      </c>
      <c r="N609" s="14" t="n">
        <v>5</v>
      </c>
      <c r="O609" s="14"/>
      <c r="P609" s="14" t="n">
        <v>0.38</v>
      </c>
      <c r="Q609" s="14"/>
      <c r="R609" s="14"/>
      <c r="S609" s="14" t="n">
        <v>75.23</v>
      </c>
      <c r="T609" s="14" t="n">
        <v>12.2</v>
      </c>
      <c r="U609" s="14" t="n">
        <v>10.65</v>
      </c>
      <c r="V609" s="14" t="n">
        <v>16.64</v>
      </c>
      <c r="W609" s="14" t="n">
        <v>114.72</v>
      </c>
      <c r="X609" s="14" t="n">
        <v>152.68</v>
      </c>
      <c r="Y609" s="14" t="n">
        <v>37.96</v>
      </c>
      <c r="Z609" s="14" t="n">
        <v>0.13</v>
      </c>
      <c r="AA609" s="14" t="n">
        <v>0</v>
      </c>
      <c r="AB609" s="14" t="n">
        <v>0</v>
      </c>
      <c r="AC609" s="14" t="n">
        <v>0</v>
      </c>
      <c r="AD609" s="15" t="n">
        <f aca="false">H609*E609/1000</f>
        <v>0</v>
      </c>
      <c r="AE609" s="15" t="n">
        <f aca="false">I609*E609/1000</f>
        <v>0</v>
      </c>
      <c r="AF609" s="16" t="n">
        <f aca="false">ROUND(S609+T609+U609+V609-W609,2)</f>
        <v>0</v>
      </c>
      <c r="AG609" s="16" t="n">
        <f aca="false">ROUND(X609-W609-Y609,2)</f>
        <v>0</v>
      </c>
    </row>
    <row r="610" customFormat="false" ht="15" hidden="false" customHeight="false" outlineLevel="0" collapsed="false">
      <c r="A610" s="13" t="s">
        <v>342</v>
      </c>
      <c r="B610" s="13" t="s">
        <v>277</v>
      </c>
      <c r="C610" s="13" t="s">
        <v>226</v>
      </c>
      <c r="D610" s="13" t="s">
        <v>344</v>
      </c>
      <c r="E610" s="14" t="n">
        <v>355</v>
      </c>
      <c r="F610" s="14" t="n">
        <v>3</v>
      </c>
      <c r="G610" s="14" t="n">
        <v>1.07</v>
      </c>
      <c r="H610" s="14"/>
      <c r="I610" s="14"/>
      <c r="J610" s="14" t="n">
        <v>60.18</v>
      </c>
      <c r="K610" s="14" t="n">
        <v>50.65</v>
      </c>
      <c r="L610" s="14" t="n">
        <v>2.79</v>
      </c>
      <c r="M610" s="14" t="n">
        <v>20.3</v>
      </c>
      <c r="N610" s="14" t="n">
        <v>5</v>
      </c>
      <c r="O610" s="14"/>
      <c r="P610" s="14" t="n">
        <v>0.38</v>
      </c>
      <c r="Q610" s="14"/>
      <c r="R610" s="14"/>
      <c r="S610" s="14" t="n">
        <v>79.12</v>
      </c>
      <c r="T610" s="14" t="n">
        <v>12.2</v>
      </c>
      <c r="U610" s="14" t="n">
        <v>10.65</v>
      </c>
      <c r="V610" s="14" t="n">
        <v>22.25</v>
      </c>
      <c r="W610" s="14" t="n">
        <v>124.22</v>
      </c>
      <c r="X610" s="14" t="n">
        <v>152.68</v>
      </c>
      <c r="Y610" s="14" t="n">
        <v>28.45</v>
      </c>
      <c r="Z610" s="14" t="n">
        <v>0.3</v>
      </c>
      <c r="AA610" s="14" t="n">
        <v>0</v>
      </c>
      <c r="AB610" s="14" t="n">
        <v>0</v>
      </c>
      <c r="AC610" s="14" t="n">
        <v>0</v>
      </c>
      <c r="AD610" s="15" t="n">
        <f aca="false">H610*E610/1000</f>
        <v>0</v>
      </c>
      <c r="AE610" s="15" t="n">
        <f aca="false">I610*E610/1000</f>
        <v>0</v>
      </c>
      <c r="AF610" s="16" t="n">
        <f aca="false">ROUND(S610+T610+U610+V610-W610,2)</f>
        <v>0</v>
      </c>
      <c r="AG610" s="16" t="n">
        <f aca="false">ROUND(X610-W610-Y610,2)</f>
        <v>0.01</v>
      </c>
    </row>
    <row r="611" customFormat="false" ht="15" hidden="false" customHeight="false" outlineLevel="0" collapsed="false">
      <c r="A611" s="13" t="s">
        <v>342</v>
      </c>
      <c r="B611" s="13" t="s">
        <v>277</v>
      </c>
      <c r="C611" s="13" t="s">
        <v>259</v>
      </c>
      <c r="D611" s="13" t="s">
        <v>343</v>
      </c>
      <c r="E611" s="14" t="n">
        <v>435</v>
      </c>
      <c r="F611" s="14" t="n">
        <v>23</v>
      </c>
      <c r="G611" s="14" t="n">
        <v>10.01</v>
      </c>
      <c r="H611" s="14"/>
      <c r="I611" s="14"/>
      <c r="J611" s="14" t="n">
        <v>62.52</v>
      </c>
      <c r="K611" s="14" t="n">
        <v>50.57</v>
      </c>
      <c r="L611" s="14" t="n">
        <v>2.69</v>
      </c>
      <c r="M611" s="14" t="n">
        <v>13.89</v>
      </c>
      <c r="N611" s="14" t="n">
        <v>5</v>
      </c>
      <c r="O611" s="14"/>
      <c r="P611" s="14" t="n">
        <v>0.38</v>
      </c>
      <c r="Q611" s="14"/>
      <c r="R611" s="14"/>
      <c r="S611" s="14" t="n">
        <v>72.54</v>
      </c>
      <c r="T611" s="14" t="n">
        <v>11.75</v>
      </c>
      <c r="U611" s="14" t="n">
        <v>10.65</v>
      </c>
      <c r="V611" s="14" t="n">
        <v>18.65</v>
      </c>
      <c r="W611" s="14" t="n">
        <v>113.58</v>
      </c>
      <c r="X611" s="14" t="n">
        <v>152.18</v>
      </c>
      <c r="Y611" s="14" t="n">
        <v>38.61</v>
      </c>
      <c r="Z611" s="14" t="n">
        <v>3.86</v>
      </c>
      <c r="AA611" s="14" t="n">
        <v>0</v>
      </c>
      <c r="AB611" s="14" t="n">
        <v>0</v>
      </c>
      <c r="AC611" s="14" t="n">
        <v>0</v>
      </c>
      <c r="AD611" s="15" t="n">
        <f aca="false">H611*E611/1000</f>
        <v>0</v>
      </c>
      <c r="AE611" s="15" t="n">
        <f aca="false">I611*E611/1000</f>
        <v>0</v>
      </c>
      <c r="AF611" s="16" t="n">
        <f aca="false">ROUND(S611+T611+U611+V611-W611,2)</f>
        <v>0.01</v>
      </c>
      <c r="AG611" s="16" t="n">
        <f aca="false">ROUND(X611-W611-Y611,2)</f>
        <v>-0.01</v>
      </c>
    </row>
    <row r="612" customFormat="false" ht="15" hidden="false" customHeight="false" outlineLevel="0" collapsed="false">
      <c r="A612" s="13" t="s">
        <v>342</v>
      </c>
      <c r="B612" s="13" t="s">
        <v>277</v>
      </c>
      <c r="C612" s="13" t="s">
        <v>268</v>
      </c>
      <c r="D612" s="13" t="s">
        <v>343</v>
      </c>
      <c r="E612" s="14" t="n">
        <v>435</v>
      </c>
      <c r="F612" s="14" t="n">
        <v>9</v>
      </c>
      <c r="G612" s="14" t="n">
        <v>3.92</v>
      </c>
      <c r="H612" s="14"/>
      <c r="I612" s="14"/>
      <c r="J612" s="14" t="n">
        <v>62.52</v>
      </c>
      <c r="K612" s="14" t="n">
        <v>49.03</v>
      </c>
      <c r="L612" s="14" t="n">
        <v>2.69</v>
      </c>
      <c r="M612" s="14" t="n">
        <v>13.32</v>
      </c>
      <c r="N612" s="14" t="n">
        <v>6.5</v>
      </c>
      <c r="O612" s="14"/>
      <c r="P612" s="14" t="n">
        <v>0.38</v>
      </c>
      <c r="Q612" s="14"/>
      <c r="R612" s="14"/>
      <c r="S612" s="14" t="n">
        <v>71.91</v>
      </c>
      <c r="T612" s="14" t="n">
        <v>8.07</v>
      </c>
      <c r="U612" s="14" t="n">
        <v>10.65</v>
      </c>
      <c r="V612" s="14" t="n">
        <v>20.58</v>
      </c>
      <c r="W612" s="14" t="n">
        <v>111.22</v>
      </c>
      <c r="X612" s="14" t="n">
        <v>152.18</v>
      </c>
      <c r="Y612" s="14" t="n">
        <v>40.97</v>
      </c>
      <c r="Z612" s="14" t="n">
        <v>1.6</v>
      </c>
      <c r="AA612" s="14" t="n">
        <v>0</v>
      </c>
      <c r="AB612" s="14" t="n">
        <v>0</v>
      </c>
      <c r="AC612" s="14" t="n">
        <v>0</v>
      </c>
      <c r="AD612" s="15" t="n">
        <f aca="false">H612*E612/1000</f>
        <v>0</v>
      </c>
      <c r="AE612" s="15" t="n">
        <f aca="false">I612*E612/1000</f>
        <v>0</v>
      </c>
      <c r="AF612" s="16" t="n">
        <f aca="false">ROUND(S612+T612+U612+V612-W612,2)</f>
        <v>-0.01</v>
      </c>
      <c r="AG612" s="16" t="n">
        <f aca="false">ROUND(X612-W612-Y612,2)</f>
        <v>-0.01</v>
      </c>
    </row>
    <row r="613" customFormat="false" ht="15" hidden="false" customHeight="false" outlineLevel="0" collapsed="false">
      <c r="A613" s="13" t="s">
        <v>342</v>
      </c>
      <c r="B613" s="13" t="s">
        <v>277</v>
      </c>
      <c r="C613" s="13" t="s">
        <v>268</v>
      </c>
      <c r="D613" s="13" t="s">
        <v>344</v>
      </c>
      <c r="E613" s="14" t="n">
        <v>355</v>
      </c>
      <c r="F613" s="14" t="n">
        <v>5</v>
      </c>
      <c r="G613" s="14" t="n">
        <v>1.78</v>
      </c>
      <c r="H613" s="14"/>
      <c r="I613" s="14"/>
      <c r="J613" s="14" t="n">
        <v>60.18</v>
      </c>
      <c r="K613" s="14" t="n">
        <v>49.27</v>
      </c>
      <c r="L613" s="14" t="n">
        <v>2.79</v>
      </c>
      <c r="M613" s="14" t="n">
        <v>17.14</v>
      </c>
      <c r="N613" s="14" t="n">
        <v>6.5</v>
      </c>
      <c r="O613" s="14"/>
      <c r="P613" s="14" t="n">
        <v>0.38</v>
      </c>
      <c r="Q613" s="14"/>
      <c r="R613" s="14"/>
      <c r="S613" s="14" t="n">
        <v>76.08</v>
      </c>
      <c r="T613" s="14" t="n">
        <v>8.54</v>
      </c>
      <c r="U613" s="14" t="n">
        <v>10.65</v>
      </c>
      <c r="V613" s="14" t="n">
        <v>21</v>
      </c>
      <c r="W613" s="14" t="n">
        <v>116.27</v>
      </c>
      <c r="X613" s="14" t="n">
        <v>152.68</v>
      </c>
      <c r="Y613" s="14" t="n">
        <v>36.41</v>
      </c>
      <c r="Z613" s="14" t="n">
        <v>0.65</v>
      </c>
      <c r="AA613" s="14" t="n">
        <v>0</v>
      </c>
      <c r="AB613" s="14" t="n">
        <v>0</v>
      </c>
      <c r="AC613" s="14" t="n">
        <v>0</v>
      </c>
      <c r="AD613" s="15" t="n">
        <f aca="false">H613*E613/1000</f>
        <v>0</v>
      </c>
      <c r="AE613" s="15" t="n">
        <f aca="false">I613*E613/1000</f>
        <v>0</v>
      </c>
      <c r="AF613" s="16" t="n">
        <f aca="false">ROUND(S613+T613+U613+V613-W613,2)</f>
        <v>0</v>
      </c>
      <c r="AG613" s="16" t="n">
        <f aca="false">ROUND(X613-W613-Y613,2)</f>
        <v>0</v>
      </c>
    </row>
    <row r="614" customFormat="false" ht="15" hidden="false" customHeight="false" outlineLevel="0" collapsed="false">
      <c r="A614" s="13" t="s">
        <v>342</v>
      </c>
      <c r="B614" s="13" t="s">
        <v>277</v>
      </c>
      <c r="C614" s="13" t="s">
        <v>240</v>
      </c>
      <c r="D614" s="13" t="s">
        <v>343</v>
      </c>
      <c r="E614" s="14" t="n">
        <v>435</v>
      </c>
      <c r="F614" s="14" t="n">
        <v>1</v>
      </c>
      <c r="G614" s="14" t="n">
        <v>0.44</v>
      </c>
      <c r="H614" s="14"/>
      <c r="I614" s="14"/>
      <c r="J614" s="14" t="n">
        <v>67.16</v>
      </c>
      <c r="K614" s="14" t="n">
        <v>48.47</v>
      </c>
      <c r="L614" s="14" t="n">
        <v>2.05</v>
      </c>
      <c r="M614" s="14" t="n">
        <v>10.73</v>
      </c>
      <c r="N614" s="14" t="n">
        <v>7</v>
      </c>
      <c r="O614" s="14"/>
      <c r="P614" s="14" t="n">
        <v>0.38</v>
      </c>
      <c r="Q614" s="14"/>
      <c r="R614" s="14"/>
      <c r="S614" s="14" t="n">
        <v>68.63</v>
      </c>
      <c r="T614" s="14" t="n">
        <v>8.07</v>
      </c>
      <c r="U614" s="14" t="n">
        <v>10.65</v>
      </c>
      <c r="V614" s="14" t="n">
        <v>17.75</v>
      </c>
      <c r="W614" s="14" t="n">
        <v>105.1</v>
      </c>
      <c r="X614" s="14" t="n">
        <v>152.18</v>
      </c>
      <c r="Y614" s="14" t="n">
        <v>47.08</v>
      </c>
      <c r="Z614" s="14" t="n">
        <v>0.2</v>
      </c>
      <c r="AA614" s="14" t="n">
        <v>0</v>
      </c>
      <c r="AB614" s="14" t="n">
        <v>0</v>
      </c>
      <c r="AC614" s="14" t="n">
        <v>0</v>
      </c>
      <c r="AD614" s="15" t="n">
        <f aca="false">H614*E614/1000</f>
        <v>0</v>
      </c>
      <c r="AE614" s="15" t="n">
        <f aca="false">I614*E614/1000</f>
        <v>0</v>
      </c>
      <c r="AF614" s="16" t="n">
        <f aca="false">ROUND(S614+T614+U614+V614-W614,2)</f>
        <v>0</v>
      </c>
      <c r="AG614" s="16" t="n">
        <f aca="false">ROUND(X614-W614-Y614,2)</f>
        <v>0</v>
      </c>
    </row>
    <row r="615" customFormat="false" ht="15" hidden="false" customHeight="false" outlineLevel="0" collapsed="false">
      <c r="A615" s="13" t="s">
        <v>342</v>
      </c>
      <c r="B615" s="13" t="s">
        <v>277</v>
      </c>
      <c r="C615" s="13" t="s">
        <v>240</v>
      </c>
      <c r="D615" s="13" t="s">
        <v>345</v>
      </c>
      <c r="E615" s="14" t="n">
        <v>570</v>
      </c>
      <c r="F615" s="14" t="n">
        <v>3</v>
      </c>
      <c r="G615" s="14" t="n">
        <v>1.71</v>
      </c>
      <c r="H615" s="14"/>
      <c r="I615" s="14"/>
      <c r="J615" s="14" t="n">
        <v>72.29</v>
      </c>
      <c r="K615" s="14" t="n">
        <v>48.06</v>
      </c>
      <c r="L615" s="14" t="n">
        <v>1.91</v>
      </c>
      <c r="M615" s="14" t="n">
        <v>8.38</v>
      </c>
      <c r="N615" s="14" t="n">
        <v>7</v>
      </c>
      <c r="O615" s="14"/>
      <c r="P615" s="14" t="n">
        <v>0.38</v>
      </c>
      <c r="Q615" s="14"/>
      <c r="R615" s="14"/>
      <c r="S615" s="14" t="n">
        <v>65.73</v>
      </c>
      <c r="T615" s="14" t="n">
        <v>7.08</v>
      </c>
      <c r="U615" s="14" t="n">
        <v>10.65</v>
      </c>
      <c r="V615" s="14" t="n">
        <v>14.89</v>
      </c>
      <c r="W615" s="14" t="n">
        <v>98.35</v>
      </c>
      <c r="X615" s="14" t="n">
        <v>156.05</v>
      </c>
      <c r="Y615" s="14" t="n">
        <v>57.71</v>
      </c>
      <c r="Z615" s="14" t="n">
        <v>0.99</v>
      </c>
      <c r="AA615" s="14" t="n">
        <v>0</v>
      </c>
      <c r="AB615" s="14" t="n">
        <v>0</v>
      </c>
      <c r="AC615" s="14" t="n">
        <v>0</v>
      </c>
      <c r="AD615" s="15" t="n">
        <f aca="false">H615*E615/1000</f>
        <v>0</v>
      </c>
      <c r="AE615" s="15" t="n">
        <f aca="false">I615*E615/1000</f>
        <v>0</v>
      </c>
      <c r="AF615" s="16" t="n">
        <f aca="false">ROUND(S615+T615+U615+V615-W615,2)</f>
        <v>0</v>
      </c>
      <c r="AG615" s="16" t="n">
        <f aca="false">ROUND(X615-W615-Y615,2)</f>
        <v>-0.01</v>
      </c>
    </row>
    <row r="616" customFormat="false" ht="15" hidden="false" customHeight="false" outlineLevel="0" collapsed="false">
      <c r="A616" s="13" t="s">
        <v>342</v>
      </c>
      <c r="B616" s="13" t="s">
        <v>277</v>
      </c>
      <c r="C616" s="13" t="s">
        <v>241</v>
      </c>
      <c r="D616" s="13" t="s">
        <v>343</v>
      </c>
      <c r="E616" s="14" t="n">
        <v>435</v>
      </c>
      <c r="F616" s="14" t="n">
        <v>1</v>
      </c>
      <c r="G616" s="14" t="n">
        <v>0.44</v>
      </c>
      <c r="H616" s="14"/>
      <c r="I616" s="14"/>
      <c r="J616" s="14" t="n">
        <v>67.16</v>
      </c>
      <c r="K616" s="14" t="n">
        <v>46.78</v>
      </c>
      <c r="L616" s="14" t="n">
        <v>2.05</v>
      </c>
      <c r="M616" s="14" t="n">
        <v>11.49</v>
      </c>
      <c r="N616" s="14" t="n">
        <v>7</v>
      </c>
      <c r="O616" s="14"/>
      <c r="P616" s="14" t="n">
        <v>0.38</v>
      </c>
      <c r="Q616" s="14"/>
      <c r="R616" s="14"/>
      <c r="S616" s="14" t="n">
        <v>67.71</v>
      </c>
      <c r="T616" s="14" t="n">
        <v>7.54</v>
      </c>
      <c r="U616" s="14" t="n">
        <v>10.65</v>
      </c>
      <c r="V616" s="14" t="n">
        <v>17.61</v>
      </c>
      <c r="W616" s="14" t="n">
        <v>103.51</v>
      </c>
      <c r="X616" s="14" t="n">
        <v>152.18</v>
      </c>
      <c r="Y616" s="14" t="n">
        <v>48.67</v>
      </c>
      <c r="Z616" s="14" t="n">
        <v>0.21</v>
      </c>
      <c r="AA616" s="14" t="n">
        <v>0</v>
      </c>
      <c r="AB616" s="14" t="n">
        <v>0</v>
      </c>
      <c r="AC616" s="14" t="n">
        <v>0</v>
      </c>
      <c r="AD616" s="15" t="n">
        <f aca="false">H616*E616/1000</f>
        <v>0</v>
      </c>
      <c r="AE616" s="15" t="n">
        <f aca="false">I616*E616/1000</f>
        <v>0</v>
      </c>
      <c r="AF616" s="16" t="n">
        <f aca="false">ROUND(S616+T616+U616+V616-W616,2)</f>
        <v>0</v>
      </c>
      <c r="AG616" s="16" t="n">
        <f aca="false">ROUND(X616-W616-Y616,2)</f>
        <v>0</v>
      </c>
    </row>
    <row r="617" customFormat="false" ht="15" hidden="false" customHeight="false" outlineLevel="0" collapsed="false">
      <c r="A617" s="13" t="s">
        <v>342</v>
      </c>
      <c r="B617" s="13" t="s">
        <v>277</v>
      </c>
      <c r="C617" s="13" t="s">
        <v>241</v>
      </c>
      <c r="D617" s="13" t="s">
        <v>345</v>
      </c>
      <c r="E617" s="14" t="n">
        <v>570</v>
      </c>
      <c r="F617" s="14" t="n">
        <v>12</v>
      </c>
      <c r="G617" s="14" t="n">
        <v>6.84</v>
      </c>
      <c r="H617" s="14" t="n">
        <v>2</v>
      </c>
      <c r="I617" s="14"/>
      <c r="J617" s="14" t="n">
        <v>72.29</v>
      </c>
      <c r="K617" s="14" t="n">
        <v>46.39</v>
      </c>
      <c r="L617" s="14" t="n">
        <v>1.91</v>
      </c>
      <c r="M617" s="14" t="n">
        <v>8.95</v>
      </c>
      <c r="N617" s="14" t="n">
        <v>7</v>
      </c>
      <c r="O617" s="14"/>
      <c r="P617" s="14" t="n">
        <v>0.38</v>
      </c>
      <c r="Q617" s="14"/>
      <c r="R617" s="14"/>
      <c r="S617" s="14" t="n">
        <v>64.63</v>
      </c>
      <c r="T617" s="14" t="n">
        <v>8.01</v>
      </c>
      <c r="U617" s="14" t="n">
        <v>10.65</v>
      </c>
      <c r="V617" s="14" t="n">
        <v>16.71</v>
      </c>
      <c r="W617" s="14" t="n">
        <v>100</v>
      </c>
      <c r="X617" s="14" t="n">
        <v>156.05</v>
      </c>
      <c r="Y617" s="14" t="n">
        <v>56.05</v>
      </c>
      <c r="Z617" s="14" t="n">
        <v>2.73</v>
      </c>
      <c r="AA617" s="14" t="n">
        <v>0.46</v>
      </c>
      <c r="AB617" s="14" t="n">
        <v>0</v>
      </c>
      <c r="AC617" s="14" t="n">
        <v>0.64</v>
      </c>
      <c r="AD617" s="15" t="n">
        <f aca="false">H617*E617/1000</f>
        <v>1.14</v>
      </c>
      <c r="AE617" s="15" t="n">
        <f aca="false">I617*E617/1000</f>
        <v>0</v>
      </c>
      <c r="AF617" s="16" t="n">
        <f aca="false">ROUND(S617+T617+U617+V617-W617,2)</f>
        <v>0</v>
      </c>
      <c r="AG617" s="16" t="n">
        <f aca="false">ROUND(X617-W617-Y617,2)</f>
        <v>0</v>
      </c>
    </row>
    <row r="618" customFormat="false" ht="15" hidden="false" customHeight="false" outlineLevel="0" collapsed="false">
      <c r="A618" s="13" t="s">
        <v>342</v>
      </c>
      <c r="B618" s="13" t="s">
        <v>277</v>
      </c>
      <c r="C618" s="13" t="s">
        <v>246</v>
      </c>
      <c r="D618" s="13" t="s">
        <v>345</v>
      </c>
      <c r="E618" s="14" t="n">
        <v>570</v>
      </c>
      <c r="F618" s="14" t="n">
        <v>3</v>
      </c>
      <c r="G618" s="14" t="n">
        <v>1.71</v>
      </c>
      <c r="H618" s="14"/>
      <c r="I618" s="14"/>
      <c r="J618" s="14" t="n">
        <v>72.29</v>
      </c>
      <c r="K618" s="14" t="n">
        <v>45.47</v>
      </c>
      <c r="L618" s="14" t="n">
        <v>1.91</v>
      </c>
      <c r="M618" s="14" t="n">
        <v>8.95</v>
      </c>
      <c r="N618" s="14" t="n">
        <v>6</v>
      </c>
      <c r="O618" s="14"/>
      <c r="P618" s="14" t="n">
        <v>0.38</v>
      </c>
      <c r="Q618" s="14"/>
      <c r="R618" s="14"/>
      <c r="S618" s="14" t="n">
        <v>62.72</v>
      </c>
      <c r="T618" s="14" t="n">
        <v>8.01</v>
      </c>
      <c r="U618" s="14" t="n">
        <v>10.65</v>
      </c>
      <c r="V618" s="14" t="n">
        <v>16.71</v>
      </c>
      <c r="W618" s="14" t="n">
        <v>98.09</v>
      </c>
      <c r="X618" s="14" t="n">
        <v>156.05</v>
      </c>
      <c r="Y618" s="14" t="n">
        <v>57.96</v>
      </c>
      <c r="Z618" s="14" t="n">
        <v>0.99</v>
      </c>
      <c r="AA618" s="14" t="n">
        <v>0</v>
      </c>
      <c r="AB618" s="14" t="n">
        <v>0</v>
      </c>
      <c r="AC618" s="14" t="n">
        <v>0</v>
      </c>
      <c r="AD618" s="15" t="n">
        <f aca="false">H618*E618/1000</f>
        <v>0</v>
      </c>
      <c r="AE618" s="15" t="n">
        <f aca="false">I618*E618/1000</f>
        <v>0</v>
      </c>
      <c r="AF618" s="16" t="n">
        <f aca="false">ROUND(S618+T618+U618+V618-W618,2)</f>
        <v>0</v>
      </c>
      <c r="AG618" s="16" t="n">
        <f aca="false">ROUND(X618-W618-Y618,2)</f>
        <v>0</v>
      </c>
    </row>
    <row r="619" customFormat="false" ht="15" hidden="false" customHeight="false" outlineLevel="0" collapsed="false">
      <c r="A619" s="13" t="s">
        <v>342</v>
      </c>
      <c r="B619" s="13" t="s">
        <v>291</v>
      </c>
      <c r="C619" s="13" t="s">
        <v>226</v>
      </c>
      <c r="D619" s="13" t="s">
        <v>345</v>
      </c>
      <c r="E619" s="14" t="n">
        <v>570</v>
      </c>
      <c r="F619" s="14" t="n">
        <v>2</v>
      </c>
      <c r="G619" s="14" t="n">
        <v>1.14</v>
      </c>
      <c r="H619" s="14"/>
      <c r="I619" s="14"/>
      <c r="J619" s="14" t="n">
        <v>72.29</v>
      </c>
      <c r="K619" s="14" t="n">
        <v>47.08</v>
      </c>
      <c r="L619" s="14" t="n">
        <v>1.87</v>
      </c>
      <c r="M619" s="14" t="n">
        <v>10.6</v>
      </c>
      <c r="N619" s="14" t="n">
        <v>5</v>
      </c>
      <c r="O619" s="14"/>
      <c r="P619" s="14" t="n">
        <v>0.38</v>
      </c>
      <c r="Q619" s="14"/>
      <c r="R619" s="14"/>
      <c r="S619" s="14" t="n">
        <v>64.93</v>
      </c>
      <c r="T619" s="14" t="n">
        <v>8.01</v>
      </c>
      <c r="U619" s="14" t="n">
        <v>10</v>
      </c>
      <c r="V619" s="14" t="n">
        <v>16.22</v>
      </c>
      <c r="W619" s="14" t="n">
        <v>99.15</v>
      </c>
      <c r="X619" s="14" t="n">
        <v>156.05</v>
      </c>
      <c r="Y619" s="14" t="n">
        <v>56.9</v>
      </c>
      <c r="Z619" s="14" t="n">
        <v>0.65</v>
      </c>
      <c r="AA619" s="14" t="n">
        <v>0</v>
      </c>
      <c r="AB619" s="14" t="n">
        <v>0</v>
      </c>
      <c r="AC619" s="14" t="n">
        <v>0</v>
      </c>
      <c r="AD619" s="15" t="n">
        <f aca="false">H619*E619/1000</f>
        <v>0</v>
      </c>
      <c r="AE619" s="15" t="n">
        <f aca="false">I619*E619/1000</f>
        <v>0</v>
      </c>
      <c r="AF619" s="16" t="n">
        <f aca="false">ROUND(S619+T619+U619+V619-W619,2)</f>
        <v>0.01</v>
      </c>
      <c r="AG619" s="16" t="n">
        <f aca="false">ROUND(X619-W619-Y619,2)</f>
        <v>0</v>
      </c>
    </row>
    <row r="620" customFormat="false" ht="15" hidden="false" customHeight="false" outlineLevel="0" collapsed="false">
      <c r="A620" s="13" t="s">
        <v>342</v>
      </c>
      <c r="B620" s="13" t="s">
        <v>291</v>
      </c>
      <c r="C620" s="13" t="s">
        <v>263</v>
      </c>
      <c r="D620" s="13" t="s">
        <v>345</v>
      </c>
      <c r="E620" s="14" t="n">
        <v>570</v>
      </c>
      <c r="F620" s="14" t="n">
        <v>3</v>
      </c>
      <c r="G620" s="14" t="n">
        <v>1.71</v>
      </c>
      <c r="H620" s="14"/>
      <c r="I620" s="14"/>
      <c r="J620" s="14" t="n">
        <v>72.29</v>
      </c>
      <c r="K620" s="14" t="n">
        <v>46.78</v>
      </c>
      <c r="L620" s="14" t="n">
        <v>1.33</v>
      </c>
      <c r="M620" s="14" t="n">
        <v>10.1</v>
      </c>
      <c r="N620" s="14" t="n">
        <v>5</v>
      </c>
      <c r="O620" s="14"/>
      <c r="P620" s="14" t="n">
        <v>0.38</v>
      </c>
      <c r="Q620" s="14"/>
      <c r="R620" s="14"/>
      <c r="S620" s="14" t="n">
        <v>63.59</v>
      </c>
      <c r="T620" s="14" t="n">
        <v>8.01</v>
      </c>
      <c r="U620" s="14" t="n">
        <v>10</v>
      </c>
      <c r="V620" s="14" t="n">
        <v>20.1</v>
      </c>
      <c r="W620" s="14" t="n">
        <v>101.7</v>
      </c>
      <c r="X620" s="14" t="n">
        <v>156.05</v>
      </c>
      <c r="Y620" s="14" t="n">
        <v>54.36</v>
      </c>
      <c r="Z620" s="14" t="n">
        <v>0.93</v>
      </c>
      <c r="AA620" s="14" t="n">
        <v>0</v>
      </c>
      <c r="AB620" s="14" t="n">
        <v>0</v>
      </c>
      <c r="AC620" s="14" t="n">
        <v>0</v>
      </c>
      <c r="AD620" s="15" t="n">
        <f aca="false">H620*E620/1000</f>
        <v>0</v>
      </c>
      <c r="AE620" s="15" t="n">
        <f aca="false">I620*E620/1000</f>
        <v>0</v>
      </c>
      <c r="AF620" s="16" t="n">
        <f aca="false">ROUND(S620+T620+U620+V620-W620,2)</f>
        <v>0</v>
      </c>
      <c r="AG620" s="16" t="n">
        <f aca="false">ROUND(X620-W620-Y620,2)</f>
        <v>-0.01</v>
      </c>
    </row>
    <row r="621" customFormat="false" ht="15" hidden="false" customHeight="false" outlineLevel="0" collapsed="false">
      <c r="A621" s="13" t="s">
        <v>346</v>
      </c>
      <c r="B621" s="13" t="s">
        <v>256</v>
      </c>
      <c r="C621" s="13" t="s">
        <v>241</v>
      </c>
      <c r="D621" s="13" t="s">
        <v>347</v>
      </c>
      <c r="E621" s="14" t="n">
        <v>392</v>
      </c>
      <c r="F621" s="14" t="n">
        <v>1</v>
      </c>
      <c r="G621" s="14" t="n">
        <v>0.39</v>
      </c>
      <c r="H621" s="14"/>
      <c r="I621" s="14"/>
      <c r="J621" s="14" t="n">
        <v>73.53</v>
      </c>
      <c r="K621" s="14" t="n">
        <v>49.68</v>
      </c>
      <c r="L621" s="14" t="n">
        <v>2.13</v>
      </c>
      <c r="M621" s="14" t="n">
        <v>22.61</v>
      </c>
      <c r="N621" s="14" t="n">
        <v>3.88</v>
      </c>
      <c r="O621" s="14"/>
      <c r="P621" s="14" t="n">
        <v>0.38</v>
      </c>
      <c r="Q621" s="14"/>
      <c r="R621" s="14" t="n">
        <v>10</v>
      </c>
      <c r="S621" s="14" t="n">
        <v>88.67</v>
      </c>
      <c r="T621" s="14" t="n">
        <v>15.31</v>
      </c>
      <c r="U621" s="14" t="n">
        <v>11.87</v>
      </c>
      <c r="V621" s="14" t="n">
        <v>15.98</v>
      </c>
      <c r="W621" s="14" t="n">
        <v>131.82</v>
      </c>
      <c r="X621" s="14" t="n">
        <v>200.84</v>
      </c>
      <c r="Y621" s="14" t="n">
        <v>69.02</v>
      </c>
      <c r="Z621" s="14" t="n">
        <v>0.27</v>
      </c>
      <c r="AA621" s="14" t="n">
        <v>0</v>
      </c>
      <c r="AB621" s="14" t="n">
        <v>0</v>
      </c>
      <c r="AC621" s="14" t="n">
        <v>0</v>
      </c>
      <c r="AD621" s="15" t="n">
        <f aca="false">H621*E621/1000</f>
        <v>0</v>
      </c>
      <c r="AE621" s="15" t="n">
        <f aca="false">I621*E621/1000</f>
        <v>0</v>
      </c>
      <c r="AF621" s="16" t="n">
        <f aca="false">ROUND(S621+T621+U621+V621-W621,2)</f>
        <v>0.01</v>
      </c>
      <c r="AG621" s="16" t="n">
        <f aca="false">ROUND(X621-W621-Y621,2)</f>
        <v>0</v>
      </c>
    </row>
    <row r="622" customFormat="false" ht="15" hidden="false" customHeight="false" outlineLevel="0" collapsed="false">
      <c r="A622" s="13" t="s">
        <v>346</v>
      </c>
      <c r="B622" s="13" t="s">
        <v>256</v>
      </c>
      <c r="C622" s="13" t="s">
        <v>241</v>
      </c>
      <c r="D622" s="13" t="s">
        <v>348</v>
      </c>
      <c r="E622" s="14" t="n">
        <v>559</v>
      </c>
      <c r="F622" s="14" t="n">
        <v>1</v>
      </c>
      <c r="G622" s="14" t="n">
        <v>0.56</v>
      </c>
      <c r="H622" s="14"/>
      <c r="I622" s="14"/>
      <c r="J622" s="14" t="n">
        <v>71.57</v>
      </c>
      <c r="K622" s="14" t="n">
        <v>49.83</v>
      </c>
      <c r="L622" s="14" t="n">
        <v>2.19</v>
      </c>
      <c r="M622" s="14" t="n">
        <v>19.15</v>
      </c>
      <c r="N622" s="14" t="n">
        <v>3.88</v>
      </c>
      <c r="O622" s="14"/>
      <c r="P622" s="14" t="n">
        <v>0.38</v>
      </c>
      <c r="Q622" s="14"/>
      <c r="R622" s="14" t="n">
        <v>10</v>
      </c>
      <c r="S622" s="14" t="n">
        <v>85.42</v>
      </c>
      <c r="T622" s="14" t="n">
        <v>12.52</v>
      </c>
      <c r="U622" s="14" t="n">
        <v>11.87</v>
      </c>
      <c r="V622" s="14" t="n">
        <v>16.24</v>
      </c>
      <c r="W622" s="14" t="n">
        <v>126.05</v>
      </c>
      <c r="X622" s="14" t="n">
        <v>207.54</v>
      </c>
      <c r="Y622" s="14" t="n">
        <v>81.49</v>
      </c>
      <c r="Z622" s="14" t="n">
        <v>0.46</v>
      </c>
      <c r="AA622" s="14" t="n">
        <v>0</v>
      </c>
      <c r="AB622" s="14" t="n">
        <v>0</v>
      </c>
      <c r="AC622" s="14" t="n">
        <v>0</v>
      </c>
      <c r="AD622" s="15" t="n">
        <f aca="false">H622*E622/1000</f>
        <v>0</v>
      </c>
      <c r="AE622" s="15" t="n">
        <f aca="false">I622*E622/1000</f>
        <v>0</v>
      </c>
      <c r="AF622" s="16" t="n">
        <f aca="false">ROUND(S622+T622+U622+V622-W622,2)</f>
        <v>0</v>
      </c>
      <c r="AG622" s="16" t="n">
        <f aca="false">ROUND(X622-W622-Y622,2)</f>
        <v>0</v>
      </c>
    </row>
    <row r="623" customFormat="false" ht="15" hidden="false" customHeight="false" outlineLevel="0" collapsed="false">
      <c r="A623" s="13" t="s">
        <v>346</v>
      </c>
      <c r="B623" s="13" t="s">
        <v>256</v>
      </c>
      <c r="C623" s="13" t="s">
        <v>246</v>
      </c>
      <c r="D623" s="13" t="s">
        <v>347</v>
      </c>
      <c r="E623" s="14" t="n">
        <v>392</v>
      </c>
      <c r="F623" s="14" t="n">
        <v>1</v>
      </c>
      <c r="G623" s="14" t="n">
        <v>0.39</v>
      </c>
      <c r="H623" s="14"/>
      <c r="I623" s="14"/>
      <c r="J623" s="14" t="n">
        <v>73.53</v>
      </c>
      <c r="K623" s="14" t="n">
        <v>48.82</v>
      </c>
      <c r="L623" s="14" t="n">
        <v>1.61</v>
      </c>
      <c r="M623" s="14" t="n">
        <v>16.4</v>
      </c>
      <c r="N623" s="14" t="n">
        <v>5.49</v>
      </c>
      <c r="O623" s="14"/>
      <c r="P623" s="14" t="n">
        <v>0.38</v>
      </c>
      <c r="Q623" s="14"/>
      <c r="R623" s="14" t="n">
        <v>10</v>
      </c>
      <c r="S623" s="14" t="n">
        <v>82.71</v>
      </c>
      <c r="T623" s="14" t="n">
        <v>15.31</v>
      </c>
      <c r="U623" s="14" t="n">
        <v>10.65</v>
      </c>
      <c r="V623" s="14" t="n">
        <v>14.67</v>
      </c>
      <c r="W623" s="14" t="n">
        <v>123.34</v>
      </c>
      <c r="X623" s="14" t="n">
        <v>200.84</v>
      </c>
      <c r="Y623" s="14" t="n">
        <v>77.5</v>
      </c>
      <c r="Z623" s="14" t="n">
        <v>0.3</v>
      </c>
      <c r="AA623" s="14" t="n">
        <v>0</v>
      </c>
      <c r="AB623" s="14" t="n">
        <v>0</v>
      </c>
      <c r="AC623" s="14" t="n">
        <v>0</v>
      </c>
      <c r="AD623" s="15" t="n">
        <f aca="false">H623*E623/1000</f>
        <v>0</v>
      </c>
      <c r="AE623" s="15" t="n">
        <f aca="false">I623*E623/1000</f>
        <v>0</v>
      </c>
      <c r="AF623" s="16" t="n">
        <f aca="false">ROUND(S623+T623+U623+V623-W623,2)</f>
        <v>0</v>
      </c>
      <c r="AG623" s="16" t="n">
        <f aca="false">ROUND(X623-W623-Y623,2)</f>
        <v>0</v>
      </c>
    </row>
    <row r="624" customFormat="false" ht="15" hidden="false" customHeight="false" outlineLevel="0" collapsed="false">
      <c r="A624" s="13" t="s">
        <v>346</v>
      </c>
      <c r="B624" s="13" t="s">
        <v>277</v>
      </c>
      <c r="C624" s="13" t="s">
        <v>219</v>
      </c>
      <c r="D624" s="13" t="s">
        <v>348</v>
      </c>
      <c r="E624" s="14" t="n">
        <v>559</v>
      </c>
      <c r="F624" s="14" t="n">
        <v>1</v>
      </c>
      <c r="G624" s="14" t="n">
        <v>0.56</v>
      </c>
      <c r="H624" s="14"/>
      <c r="I624" s="14"/>
      <c r="J624" s="14" t="n">
        <v>71.57</v>
      </c>
      <c r="K624" s="14" t="n">
        <v>47.46</v>
      </c>
      <c r="L624" s="14" t="n">
        <v>2.35</v>
      </c>
      <c r="M624" s="14" t="n">
        <v>16</v>
      </c>
      <c r="N624" s="14" t="n">
        <v>5</v>
      </c>
      <c r="O624" s="14"/>
      <c r="P624" s="14" t="n">
        <v>0.38</v>
      </c>
      <c r="Q624" s="14"/>
      <c r="R624" s="14" t="n">
        <v>10</v>
      </c>
      <c r="S624" s="14" t="n">
        <v>81.19</v>
      </c>
      <c r="T624" s="14" t="n">
        <v>12.52</v>
      </c>
      <c r="U624" s="14" t="n">
        <v>10.65</v>
      </c>
      <c r="V624" s="14" t="n">
        <v>14.92</v>
      </c>
      <c r="W624" s="14" t="n">
        <v>119.27</v>
      </c>
      <c r="X624" s="14" t="n">
        <v>207.54</v>
      </c>
      <c r="Y624" s="14" t="n">
        <v>88.27</v>
      </c>
      <c r="Z624" s="14" t="n">
        <v>0.49</v>
      </c>
      <c r="AA624" s="14" t="n">
        <v>0</v>
      </c>
      <c r="AB624" s="14" t="n">
        <v>0</v>
      </c>
      <c r="AC624" s="14" t="n">
        <v>0</v>
      </c>
      <c r="AD624" s="15" t="n">
        <f aca="false">H624*E624/1000</f>
        <v>0</v>
      </c>
      <c r="AE624" s="15" t="n">
        <f aca="false">I624*E624/1000</f>
        <v>0</v>
      </c>
      <c r="AF624" s="16" t="n">
        <f aca="false">ROUND(S624+T624+U624+V624-W624,2)</f>
        <v>0.01</v>
      </c>
      <c r="AG624" s="16" t="n">
        <f aca="false">ROUND(X624-W624-Y624,2)</f>
        <v>0</v>
      </c>
    </row>
    <row r="625" customFormat="false" ht="15" hidden="false" customHeight="false" outlineLevel="0" collapsed="false">
      <c r="A625" s="13" t="s">
        <v>346</v>
      </c>
      <c r="B625" s="13" t="s">
        <v>277</v>
      </c>
      <c r="C625" s="13" t="s">
        <v>219</v>
      </c>
      <c r="D625" s="13" t="s">
        <v>349</v>
      </c>
      <c r="E625" s="14" t="n">
        <v>751</v>
      </c>
      <c r="F625" s="14" t="n">
        <v>1</v>
      </c>
      <c r="G625" s="14" t="n">
        <v>0.751</v>
      </c>
      <c r="H625" s="14"/>
      <c r="I625" s="14"/>
      <c r="J625" s="14" t="n">
        <v>68.63</v>
      </c>
      <c r="K625" s="14" t="n">
        <v>47.69</v>
      </c>
      <c r="L625" s="14" t="n">
        <v>2.45</v>
      </c>
      <c r="M625" s="14" t="n">
        <v>14.95</v>
      </c>
      <c r="N625" s="14" t="n">
        <v>5</v>
      </c>
      <c r="O625" s="14"/>
      <c r="P625" s="14" t="n">
        <v>0.38</v>
      </c>
      <c r="Q625" s="14"/>
      <c r="R625" s="14" t="n">
        <v>10</v>
      </c>
      <c r="S625" s="14" t="n">
        <v>80.47</v>
      </c>
      <c r="T625" s="14" t="n">
        <v>9.32</v>
      </c>
      <c r="U625" s="14" t="n">
        <v>10.65</v>
      </c>
      <c r="V625" s="14" t="n">
        <v>15.31</v>
      </c>
      <c r="W625" s="14" t="n">
        <v>115.75</v>
      </c>
      <c r="X625" s="14" t="n">
        <v>227.5</v>
      </c>
      <c r="Y625" s="14" t="n">
        <v>111.75</v>
      </c>
      <c r="Z625" s="14" t="n">
        <v>0.84</v>
      </c>
      <c r="AA625" s="14" t="n">
        <v>0</v>
      </c>
      <c r="AB625" s="14" t="n">
        <v>0</v>
      </c>
      <c r="AC625" s="14" t="n">
        <v>0</v>
      </c>
      <c r="AD625" s="15" t="n">
        <f aca="false">H625*E625/1000</f>
        <v>0</v>
      </c>
      <c r="AE625" s="15" t="n">
        <f aca="false">I625*E625/1000</f>
        <v>0</v>
      </c>
      <c r="AF625" s="16" t="n">
        <f aca="false">ROUND(S625+T625+U625+V625-W625,2)</f>
        <v>0</v>
      </c>
      <c r="AG625" s="16" t="n">
        <f aca="false">ROUND(X625-W625-Y625,2)</f>
        <v>0</v>
      </c>
    </row>
    <row r="626" customFormat="false" ht="15" hidden="false" customHeight="false" outlineLevel="0" collapsed="false">
      <c r="A626" s="13" t="s">
        <v>346</v>
      </c>
      <c r="B626" s="13" t="s">
        <v>277</v>
      </c>
      <c r="C626" s="13" t="s">
        <v>226</v>
      </c>
      <c r="D626" s="13" t="s">
        <v>347</v>
      </c>
      <c r="E626" s="14" t="n">
        <v>390</v>
      </c>
      <c r="F626" s="14" t="n">
        <v>1</v>
      </c>
      <c r="G626" s="14" t="n">
        <v>0.39</v>
      </c>
      <c r="H626" s="14"/>
      <c r="I626" s="14"/>
      <c r="J626" s="14" t="n">
        <v>73.53</v>
      </c>
      <c r="K626" s="14" t="n">
        <v>49.45</v>
      </c>
      <c r="L626" s="14" t="n">
        <v>2.28</v>
      </c>
      <c r="M626" s="14" t="n">
        <v>20.77</v>
      </c>
      <c r="N626" s="14" t="n">
        <v>5</v>
      </c>
      <c r="O626" s="14"/>
      <c r="P626" s="14" t="n">
        <v>0.38</v>
      </c>
      <c r="Q626" s="14"/>
      <c r="R626" s="14" t="n">
        <v>10</v>
      </c>
      <c r="S626" s="14" t="n">
        <v>87.89</v>
      </c>
      <c r="T626" s="14" t="n">
        <v>15.38</v>
      </c>
      <c r="U626" s="14" t="n">
        <v>10.65</v>
      </c>
      <c r="V626" s="14" t="n">
        <v>20.28</v>
      </c>
      <c r="W626" s="14" t="n">
        <v>134.21</v>
      </c>
      <c r="X626" s="14" t="n">
        <v>201.87</v>
      </c>
      <c r="Y626" s="14" t="n">
        <v>67.67</v>
      </c>
      <c r="Z626" s="14" t="n">
        <v>0.26</v>
      </c>
      <c r="AA626" s="14" t="n">
        <v>0</v>
      </c>
      <c r="AB626" s="14" t="n">
        <v>0</v>
      </c>
      <c r="AC626" s="14" t="n">
        <v>0</v>
      </c>
      <c r="AD626" s="15" t="n">
        <f aca="false">H626*E626/1000</f>
        <v>0</v>
      </c>
      <c r="AE626" s="15" t="n">
        <f aca="false">I626*E626/1000</f>
        <v>0</v>
      </c>
      <c r="AF626" s="16" t="n">
        <f aca="false">ROUND(S626+T626+U626+V626-W626,2)</f>
        <v>-0.01</v>
      </c>
      <c r="AG626" s="16" t="n">
        <f aca="false">ROUND(X626-W626-Y626,2)</f>
        <v>-0.01</v>
      </c>
    </row>
    <row r="627" customFormat="false" ht="15" hidden="false" customHeight="false" outlineLevel="0" collapsed="false">
      <c r="A627" s="13" t="s">
        <v>346</v>
      </c>
      <c r="B627" s="13" t="s">
        <v>277</v>
      </c>
      <c r="C627" s="13" t="s">
        <v>226</v>
      </c>
      <c r="D627" s="13" t="s">
        <v>348</v>
      </c>
      <c r="E627" s="14" t="n">
        <v>510</v>
      </c>
      <c r="F627" s="14" t="n">
        <v>1</v>
      </c>
      <c r="G627" s="14" t="n">
        <v>0.51</v>
      </c>
      <c r="H627" s="14"/>
      <c r="I627" s="14"/>
      <c r="J627" s="14" t="n">
        <v>71.57</v>
      </c>
      <c r="K627" s="14" t="n">
        <v>49.6</v>
      </c>
      <c r="L627" s="14" t="n">
        <v>2.35</v>
      </c>
      <c r="M627" s="14" t="n">
        <v>19.1</v>
      </c>
      <c r="N627" s="14" t="n">
        <v>5</v>
      </c>
      <c r="O627" s="14"/>
      <c r="P627" s="14" t="n">
        <v>0.38</v>
      </c>
      <c r="Q627" s="14"/>
      <c r="R627" s="14" t="n">
        <v>10</v>
      </c>
      <c r="S627" s="14" t="n">
        <v>86.43</v>
      </c>
      <c r="T627" s="14" t="n">
        <v>13.73</v>
      </c>
      <c r="U627" s="14" t="n">
        <v>10.65</v>
      </c>
      <c r="V627" s="14" t="n">
        <v>20.53</v>
      </c>
      <c r="W627" s="14" t="n">
        <v>131.33</v>
      </c>
      <c r="X627" s="14" t="n">
        <v>227.48</v>
      </c>
      <c r="Y627" s="14" t="n">
        <v>96.15</v>
      </c>
      <c r="Z627" s="14" t="n">
        <v>0.49</v>
      </c>
      <c r="AA627" s="14" t="n">
        <v>0</v>
      </c>
      <c r="AB627" s="14" t="n">
        <v>0</v>
      </c>
      <c r="AC627" s="14" t="n">
        <v>0</v>
      </c>
      <c r="AD627" s="15" t="n">
        <f aca="false">H627*E627/1000</f>
        <v>0</v>
      </c>
      <c r="AE627" s="15" t="n">
        <f aca="false">I627*E627/1000</f>
        <v>0</v>
      </c>
      <c r="AF627" s="16" t="n">
        <f aca="false">ROUND(S627+T627+U627+V627-W627,2)</f>
        <v>0.01</v>
      </c>
      <c r="AG627" s="16" t="n">
        <f aca="false">ROUND(X627-W627-Y627,2)</f>
        <v>0</v>
      </c>
    </row>
    <row r="628" customFormat="false" ht="15" hidden="false" customHeight="false" outlineLevel="0" collapsed="false">
      <c r="A628" s="13" t="s">
        <v>346</v>
      </c>
      <c r="B628" s="13" t="s">
        <v>277</v>
      </c>
      <c r="C628" s="13" t="s">
        <v>259</v>
      </c>
      <c r="D628" s="13" t="s">
        <v>347</v>
      </c>
      <c r="E628" s="14" t="n">
        <v>365</v>
      </c>
      <c r="F628" s="14" t="n">
        <v>1</v>
      </c>
      <c r="G628" s="14" t="n">
        <v>0.37</v>
      </c>
      <c r="H628" s="14"/>
      <c r="I628" s="14"/>
      <c r="J628" s="14" t="n">
        <v>73.53</v>
      </c>
      <c r="K628" s="14" t="n">
        <v>49.62</v>
      </c>
      <c r="L628" s="14" t="n">
        <v>2.28</v>
      </c>
      <c r="M628" s="14" t="n">
        <v>19.5</v>
      </c>
      <c r="N628" s="14" t="n">
        <v>5</v>
      </c>
      <c r="O628" s="14"/>
      <c r="P628" s="14" t="n">
        <v>0.38</v>
      </c>
      <c r="Q628" s="14"/>
      <c r="R628" s="14" t="n">
        <v>10</v>
      </c>
      <c r="S628" s="14" t="n">
        <v>86.79</v>
      </c>
      <c r="T628" s="14" t="n">
        <v>16.44</v>
      </c>
      <c r="U628" s="14" t="n">
        <v>10.65</v>
      </c>
      <c r="V628" s="14" t="n">
        <v>20.74</v>
      </c>
      <c r="W628" s="14" t="n">
        <v>134.62</v>
      </c>
      <c r="X628" s="14" t="n">
        <v>215.7</v>
      </c>
      <c r="Y628" s="14" t="n">
        <v>81.08</v>
      </c>
      <c r="Z628" s="14" t="n">
        <v>0.3</v>
      </c>
      <c r="AA628" s="14" t="n">
        <v>0</v>
      </c>
      <c r="AB628" s="14" t="n">
        <v>0</v>
      </c>
      <c r="AC628" s="14" t="n">
        <v>0</v>
      </c>
      <c r="AD628" s="15" t="n">
        <f aca="false">H628*E628/1000</f>
        <v>0</v>
      </c>
      <c r="AE628" s="15" t="n">
        <f aca="false">I628*E628/1000</f>
        <v>0</v>
      </c>
      <c r="AF628" s="16" t="n">
        <f aca="false">ROUND(S628+T628+U628+V628-W628,2)</f>
        <v>0</v>
      </c>
      <c r="AG628" s="16" t="n">
        <f aca="false">ROUND(X628-W628-Y628,2)</f>
        <v>0</v>
      </c>
    </row>
    <row r="629" customFormat="false" ht="15" hidden="false" customHeight="false" outlineLevel="0" collapsed="false">
      <c r="A629" s="13" t="s">
        <v>346</v>
      </c>
      <c r="B629" s="13" t="s">
        <v>291</v>
      </c>
      <c r="C629" s="13" t="s">
        <v>263</v>
      </c>
      <c r="D629" s="13" t="s">
        <v>348</v>
      </c>
      <c r="E629" s="14" t="n">
        <v>510</v>
      </c>
      <c r="F629" s="14" t="n">
        <v>3</v>
      </c>
      <c r="G629" s="14" t="n">
        <v>1.53</v>
      </c>
      <c r="H629" s="14"/>
      <c r="I629" s="14"/>
      <c r="J629" s="14" t="n">
        <v>68.03</v>
      </c>
      <c r="K629" s="14" t="n">
        <v>47.1</v>
      </c>
      <c r="L629" s="14" t="n">
        <v>1.41</v>
      </c>
      <c r="M629" s="14" t="n">
        <v>12.14</v>
      </c>
      <c r="N629" s="14" t="n">
        <v>5</v>
      </c>
      <c r="O629" s="14"/>
      <c r="P629" s="14" t="n">
        <v>0.38</v>
      </c>
      <c r="Q629" s="14"/>
      <c r="R629" s="14" t="n">
        <v>10</v>
      </c>
      <c r="S629" s="14" t="n">
        <v>76.04</v>
      </c>
      <c r="T629" s="14" t="n">
        <v>13.73</v>
      </c>
      <c r="U629" s="14" t="n">
        <v>10</v>
      </c>
      <c r="V629" s="14" t="n">
        <v>20.66</v>
      </c>
      <c r="W629" s="14" t="n">
        <v>120.42</v>
      </c>
      <c r="X629" s="14" t="n">
        <v>227.48</v>
      </c>
      <c r="Y629" s="14" t="n">
        <v>107.06</v>
      </c>
      <c r="Z629" s="14" t="n">
        <v>1.64</v>
      </c>
      <c r="AA629" s="14" t="n">
        <v>0</v>
      </c>
      <c r="AB629" s="14" t="n">
        <v>0</v>
      </c>
      <c r="AC629" s="14" t="n">
        <v>0</v>
      </c>
      <c r="AD629" s="15" t="n">
        <f aca="false">H629*E629/1000</f>
        <v>0</v>
      </c>
      <c r="AE629" s="15" t="n">
        <f aca="false">I629*E629/1000</f>
        <v>0</v>
      </c>
      <c r="AF629" s="16" t="n">
        <f aca="false">ROUND(S629+T629+U629+V629-W629,2)</f>
        <v>0.01</v>
      </c>
      <c r="AG629" s="16" t="n">
        <f aca="false">ROUND(X629-W629-Y629,2)</f>
        <v>0</v>
      </c>
    </row>
    <row r="630" customFormat="false" ht="15" hidden="false" customHeight="false" outlineLevel="0" collapsed="false">
      <c r="A630" s="13" t="s">
        <v>346</v>
      </c>
      <c r="B630" s="13" t="s">
        <v>291</v>
      </c>
      <c r="C630" s="13" t="s">
        <v>263</v>
      </c>
      <c r="D630" s="13" t="s">
        <v>349</v>
      </c>
      <c r="E630" s="14" t="n">
        <v>751</v>
      </c>
      <c r="F630" s="14" t="n">
        <v>1</v>
      </c>
      <c r="G630" s="14" t="n">
        <v>0.751</v>
      </c>
      <c r="H630" s="14"/>
      <c r="I630" s="14"/>
      <c r="J630" s="14" t="n">
        <v>67.06</v>
      </c>
      <c r="K630" s="14" t="n">
        <v>47.18</v>
      </c>
      <c r="L630" s="14" t="n">
        <v>1.43</v>
      </c>
      <c r="M630" s="14" t="n">
        <v>10.67</v>
      </c>
      <c r="N630" s="14" t="n">
        <v>5</v>
      </c>
      <c r="O630" s="14"/>
      <c r="P630" s="14" t="n">
        <v>0.38</v>
      </c>
      <c r="Q630" s="14"/>
      <c r="R630" s="14" t="n">
        <v>10</v>
      </c>
      <c r="S630" s="14" t="n">
        <v>74.66</v>
      </c>
      <c r="T630" s="14" t="n">
        <v>9.32</v>
      </c>
      <c r="U630" s="14" t="n">
        <v>10</v>
      </c>
      <c r="V630" s="14" t="n">
        <v>20.79</v>
      </c>
      <c r="W630" s="14" t="n">
        <v>114.77</v>
      </c>
      <c r="X630" s="14" t="n">
        <v>227.5</v>
      </c>
      <c r="Y630" s="14" t="n">
        <v>112.72</v>
      </c>
      <c r="Z630" s="14" t="n">
        <v>0.85</v>
      </c>
      <c r="AA630" s="14" t="n">
        <v>0</v>
      </c>
      <c r="AB630" s="14" t="n">
        <v>0</v>
      </c>
      <c r="AC630" s="14" t="n">
        <v>0</v>
      </c>
      <c r="AD630" s="15" t="n">
        <f aca="false">H630*E630/1000</f>
        <v>0</v>
      </c>
      <c r="AE630" s="15" t="n">
        <f aca="false">I630*E630/1000</f>
        <v>0</v>
      </c>
      <c r="AF630" s="16" t="n">
        <f aca="false">ROUND(S630+T630+U630+V630-W630,2)</f>
        <v>0</v>
      </c>
      <c r="AG630" s="16" t="n">
        <f aca="false">ROUND(X630-W630-Y630,2)</f>
        <v>0.01</v>
      </c>
    </row>
    <row r="631" customFormat="false" ht="15" hidden="false" customHeight="false" outlineLevel="0" collapsed="false">
      <c r="A631" s="13" t="s">
        <v>346</v>
      </c>
      <c r="B631" s="13" t="s">
        <v>291</v>
      </c>
      <c r="C631" s="13" t="s">
        <v>263</v>
      </c>
      <c r="D631" s="13" t="s">
        <v>350</v>
      </c>
      <c r="E631" s="14" t="n">
        <v>671</v>
      </c>
      <c r="F631" s="14" t="n">
        <v>1</v>
      </c>
      <c r="G631" s="14" t="n">
        <v>0.671</v>
      </c>
      <c r="H631" s="14"/>
      <c r="I631" s="14"/>
      <c r="J631" s="14" t="n">
        <v>68.24</v>
      </c>
      <c r="K631" s="14" t="n">
        <v>47.09</v>
      </c>
      <c r="L631" s="14" t="n">
        <v>1.41</v>
      </c>
      <c r="M631" s="14" t="n">
        <v>10.45</v>
      </c>
      <c r="N631" s="14" t="n">
        <v>5</v>
      </c>
      <c r="O631" s="14"/>
      <c r="P631" s="14" t="n">
        <v>0.38</v>
      </c>
      <c r="Q631" s="14"/>
      <c r="R631" s="14"/>
      <c r="S631" s="14" t="n">
        <v>64.33</v>
      </c>
      <c r="T631" s="14" t="n">
        <v>9.37</v>
      </c>
      <c r="U631" s="14" t="n">
        <v>10</v>
      </c>
      <c r="V631" s="14" t="n">
        <v>20.63</v>
      </c>
      <c r="W631" s="14" t="n">
        <v>104.33</v>
      </c>
      <c r="X631" s="14" t="n">
        <v>217.96</v>
      </c>
      <c r="Y631" s="14" t="n">
        <v>113.63</v>
      </c>
      <c r="Z631" s="14" t="n">
        <v>0.76</v>
      </c>
      <c r="AA631" s="14" t="n">
        <v>0</v>
      </c>
      <c r="AB631" s="14" t="n">
        <v>0</v>
      </c>
      <c r="AC631" s="14" t="n">
        <v>0</v>
      </c>
      <c r="AD631" s="15" t="n">
        <f aca="false">H631*E631/1000</f>
        <v>0</v>
      </c>
      <c r="AE631" s="15" t="n">
        <f aca="false">I631*E631/1000</f>
        <v>0</v>
      </c>
      <c r="AF631" s="16" t="n">
        <f aca="false">ROUND(S631+T631+U631+V631-W631,2)</f>
        <v>0</v>
      </c>
      <c r="AG631" s="16" t="n">
        <f aca="false">ROUND(X631-W631-Y631,2)</f>
        <v>0</v>
      </c>
    </row>
    <row r="632" customFormat="false" ht="15" hidden="false" customHeight="false" outlineLevel="0" collapsed="false">
      <c r="A632" s="13" t="s">
        <v>346</v>
      </c>
      <c r="B632" s="13" t="s">
        <v>291</v>
      </c>
      <c r="C632" s="13" t="s">
        <v>268</v>
      </c>
      <c r="D632" s="13" t="s">
        <v>348</v>
      </c>
      <c r="E632" s="14" t="n">
        <v>510</v>
      </c>
      <c r="F632" s="14" t="n">
        <v>2</v>
      </c>
      <c r="G632" s="14" t="n">
        <v>1.02</v>
      </c>
      <c r="H632" s="14"/>
      <c r="I632" s="14"/>
      <c r="J632" s="14" t="n">
        <v>68.03</v>
      </c>
      <c r="K632" s="14" t="n">
        <v>46.83</v>
      </c>
      <c r="L632" s="14" t="n">
        <v>1.41</v>
      </c>
      <c r="M632" s="14" t="n">
        <v>10.47</v>
      </c>
      <c r="N632" s="14" t="n">
        <v>4.2</v>
      </c>
      <c r="O632" s="14"/>
      <c r="P632" s="14" t="n">
        <v>0.38</v>
      </c>
      <c r="Q632" s="14"/>
      <c r="R632" s="14" t="n">
        <v>10</v>
      </c>
      <c r="S632" s="14" t="n">
        <v>73.3</v>
      </c>
      <c r="T632" s="14" t="n">
        <v>13.73</v>
      </c>
      <c r="U632" s="14" t="n">
        <v>10</v>
      </c>
      <c r="V632" s="14" t="n">
        <v>20.96</v>
      </c>
      <c r="W632" s="14" t="n">
        <v>117.98</v>
      </c>
      <c r="X632" s="14" t="n">
        <v>227.48</v>
      </c>
      <c r="Y632" s="14" t="n">
        <v>109.51</v>
      </c>
      <c r="Z632" s="14" t="n">
        <v>1.12</v>
      </c>
      <c r="AA632" s="14" t="n">
        <v>0</v>
      </c>
      <c r="AB632" s="14" t="n">
        <v>0</v>
      </c>
      <c r="AC632" s="14" t="n">
        <v>0</v>
      </c>
      <c r="AD632" s="15" t="n">
        <f aca="false">H632*E632/1000</f>
        <v>0</v>
      </c>
      <c r="AE632" s="15" t="n">
        <f aca="false">I632*E632/1000</f>
        <v>0</v>
      </c>
      <c r="AF632" s="16" t="n">
        <f aca="false">ROUND(S632+T632+U632+V632-W632,2)</f>
        <v>0.01</v>
      </c>
      <c r="AG632" s="16" t="n">
        <f aca="false">ROUND(X632-W632-Y632,2)</f>
        <v>-0.01</v>
      </c>
    </row>
    <row r="633" customFormat="false" ht="15" hidden="false" customHeight="false" outlineLevel="0" collapsed="false">
      <c r="A633" s="13" t="s">
        <v>346</v>
      </c>
      <c r="B633" s="13" t="s">
        <v>291</v>
      </c>
      <c r="C633" s="13" t="s">
        <v>268</v>
      </c>
      <c r="D633" s="13" t="s">
        <v>349</v>
      </c>
      <c r="E633" s="14" t="n">
        <v>751</v>
      </c>
      <c r="F633" s="14" t="n">
        <v>1</v>
      </c>
      <c r="G633" s="14" t="n">
        <v>0.751</v>
      </c>
      <c r="H633" s="14"/>
      <c r="I633" s="14"/>
      <c r="J633" s="14" t="n">
        <v>67.06</v>
      </c>
      <c r="K633" s="14" t="n">
        <v>46.91</v>
      </c>
      <c r="L633" s="14" t="n">
        <v>1.43</v>
      </c>
      <c r="M633" s="14" t="n">
        <v>9.19</v>
      </c>
      <c r="N633" s="14" t="n">
        <v>4.2</v>
      </c>
      <c r="O633" s="14"/>
      <c r="P633" s="14" t="n">
        <v>0.38</v>
      </c>
      <c r="Q633" s="14"/>
      <c r="R633" s="14" t="n">
        <v>10</v>
      </c>
      <c r="S633" s="14" t="n">
        <v>72.11</v>
      </c>
      <c r="T633" s="14" t="n">
        <v>9.32</v>
      </c>
      <c r="U633" s="14" t="n">
        <v>10</v>
      </c>
      <c r="V633" s="14" t="n">
        <v>21.09</v>
      </c>
      <c r="W633" s="14" t="n">
        <v>112.52</v>
      </c>
      <c r="X633" s="14" t="n">
        <v>227.5</v>
      </c>
      <c r="Y633" s="14" t="n">
        <v>114.97</v>
      </c>
      <c r="Z633" s="14" t="n">
        <v>0.86</v>
      </c>
      <c r="AA633" s="14" t="n">
        <v>0</v>
      </c>
      <c r="AB633" s="14" t="n">
        <v>0</v>
      </c>
      <c r="AC633" s="14" t="n">
        <v>0</v>
      </c>
      <c r="AD633" s="15" t="n">
        <f aca="false">H633*E633/1000</f>
        <v>0</v>
      </c>
      <c r="AE633" s="15" t="n">
        <f aca="false">I633*E633/1000</f>
        <v>0</v>
      </c>
      <c r="AF633" s="16" t="n">
        <f aca="false">ROUND(S633+T633+U633+V633-W633,2)</f>
        <v>0</v>
      </c>
      <c r="AG633" s="16" t="n">
        <f aca="false">ROUND(X633-W633-Y633,2)</f>
        <v>0.01</v>
      </c>
    </row>
    <row r="634" customFormat="false" ht="15" hidden="false" customHeight="false" outlineLevel="0" collapsed="false">
      <c r="A634" s="13" t="s">
        <v>346</v>
      </c>
      <c r="B634" s="13" t="s">
        <v>291</v>
      </c>
      <c r="C634" s="13" t="s">
        <v>269</v>
      </c>
      <c r="D634" s="13" t="s">
        <v>348</v>
      </c>
      <c r="E634" s="14" t="n">
        <v>510</v>
      </c>
      <c r="F634" s="14" t="n">
        <v>1</v>
      </c>
      <c r="G634" s="14" t="n">
        <v>0.51</v>
      </c>
      <c r="H634" s="14"/>
      <c r="I634" s="14"/>
      <c r="J634" s="14" t="n">
        <v>68.03</v>
      </c>
      <c r="K634" s="14" t="n">
        <v>46.67</v>
      </c>
      <c r="L634" s="14" t="n">
        <v>1.41</v>
      </c>
      <c r="M634" s="14" t="n">
        <v>12.14</v>
      </c>
      <c r="N634" s="14" t="n">
        <v>7</v>
      </c>
      <c r="O634" s="14"/>
      <c r="P634" s="14" t="n">
        <v>0.38</v>
      </c>
      <c r="Q634" s="14"/>
      <c r="R634" s="14" t="n">
        <v>10</v>
      </c>
      <c r="S634" s="14" t="n">
        <v>77.61</v>
      </c>
      <c r="T634" s="14" t="n">
        <v>13.73</v>
      </c>
      <c r="U634" s="14" t="n">
        <v>10</v>
      </c>
      <c r="V634" s="14" t="n">
        <v>20.96</v>
      </c>
      <c r="W634" s="14" t="n">
        <v>122.29</v>
      </c>
      <c r="X634" s="14" t="n">
        <v>227.48</v>
      </c>
      <c r="Y634" s="14" t="n">
        <v>105.2</v>
      </c>
      <c r="Z634" s="14" t="n">
        <v>0.54</v>
      </c>
      <c r="AA634" s="14" t="n">
        <v>0</v>
      </c>
      <c r="AB634" s="14" t="n">
        <v>0</v>
      </c>
      <c r="AC634" s="14" t="n">
        <v>0</v>
      </c>
      <c r="AD634" s="15" t="n">
        <f aca="false">H634*E634/1000</f>
        <v>0</v>
      </c>
      <c r="AE634" s="15" t="n">
        <f aca="false">I634*E634/1000</f>
        <v>0</v>
      </c>
      <c r="AF634" s="16" t="n">
        <f aca="false">ROUND(S634+T634+U634+V634-W634,2)</f>
        <v>0.01</v>
      </c>
      <c r="AG634" s="16" t="n">
        <f aca="false">ROUND(X634-W634-Y634,2)</f>
        <v>-0.01</v>
      </c>
    </row>
    <row r="635" customFormat="false" ht="15" hidden="false" customHeight="false" outlineLevel="0" collapsed="false">
      <c r="A635" s="13" t="s">
        <v>346</v>
      </c>
      <c r="B635" s="13" t="s">
        <v>291</v>
      </c>
      <c r="C635" s="13" t="s">
        <v>235</v>
      </c>
      <c r="D635" s="13" t="s">
        <v>350</v>
      </c>
      <c r="E635" s="14" t="n">
        <v>671</v>
      </c>
      <c r="F635" s="14" t="n">
        <v>1</v>
      </c>
      <c r="G635" s="14" t="n">
        <v>0.671</v>
      </c>
      <c r="H635" s="14"/>
      <c r="I635" s="14"/>
      <c r="J635" s="14" t="n">
        <v>68.24</v>
      </c>
      <c r="K635" s="14" t="n">
        <v>45.86</v>
      </c>
      <c r="L635" s="14" t="n">
        <v>1.41</v>
      </c>
      <c r="M635" s="14" t="n">
        <v>10.45</v>
      </c>
      <c r="N635" s="14" t="n">
        <v>5</v>
      </c>
      <c r="O635" s="14"/>
      <c r="P635" s="14" t="n">
        <v>0.38</v>
      </c>
      <c r="Q635" s="14"/>
      <c r="R635" s="14"/>
      <c r="S635" s="14" t="n">
        <v>63.1</v>
      </c>
      <c r="T635" s="14" t="n">
        <v>9.37</v>
      </c>
      <c r="U635" s="14" t="n">
        <v>10</v>
      </c>
      <c r="V635" s="14" t="n">
        <v>20.93</v>
      </c>
      <c r="W635" s="14" t="n">
        <v>103.4</v>
      </c>
      <c r="X635" s="14" t="n">
        <v>217.96</v>
      </c>
      <c r="Y635" s="14" t="n">
        <v>114.56</v>
      </c>
      <c r="Z635" s="14" t="n">
        <v>0.77</v>
      </c>
      <c r="AA635" s="14" t="n">
        <v>0</v>
      </c>
      <c r="AB635" s="14" t="n">
        <v>0</v>
      </c>
      <c r="AC635" s="14" t="n">
        <v>0</v>
      </c>
      <c r="AD635" s="15" t="n">
        <f aca="false">H635*E635/1000</f>
        <v>0</v>
      </c>
      <c r="AE635" s="15" t="n">
        <f aca="false">I635*E635/1000</f>
        <v>0</v>
      </c>
      <c r="AF635" s="16" t="n">
        <f aca="false">ROUND(S635+T635+U635+V635-W635,2)</f>
        <v>0</v>
      </c>
      <c r="AG635" s="16" t="n">
        <f aca="false">ROUND(X635-W635-Y635,2)</f>
        <v>0</v>
      </c>
    </row>
    <row r="636" customFormat="false" ht="15" hidden="false" customHeight="false" outlineLevel="0" collapsed="false">
      <c r="A636" s="13" t="s">
        <v>346</v>
      </c>
      <c r="B636" s="13" t="s">
        <v>291</v>
      </c>
      <c r="C636" s="13" t="s">
        <v>240</v>
      </c>
      <c r="D636" s="13" t="s">
        <v>348</v>
      </c>
      <c r="E636" s="14" t="n">
        <v>510</v>
      </c>
      <c r="F636" s="14" t="n">
        <v>1</v>
      </c>
      <c r="G636" s="14" t="n">
        <v>0.51</v>
      </c>
      <c r="H636" s="14"/>
      <c r="I636" s="14"/>
      <c r="J636" s="14" t="n">
        <v>68.03</v>
      </c>
      <c r="K636" s="14" t="n">
        <v>45.94</v>
      </c>
      <c r="L636" s="14" t="n">
        <v>1.41</v>
      </c>
      <c r="M636" s="14" t="n">
        <v>12.14</v>
      </c>
      <c r="N636" s="14" t="n">
        <v>7</v>
      </c>
      <c r="O636" s="14"/>
      <c r="P636" s="14" t="n">
        <v>0.38</v>
      </c>
      <c r="Q636" s="14"/>
      <c r="R636" s="14" t="n">
        <v>10</v>
      </c>
      <c r="S636" s="14" t="n">
        <v>76.87</v>
      </c>
      <c r="T636" s="14" t="n">
        <v>13.73</v>
      </c>
      <c r="U636" s="14" t="n">
        <v>10</v>
      </c>
      <c r="V636" s="14" t="n">
        <v>20.96</v>
      </c>
      <c r="W636" s="14" t="n">
        <v>121.55</v>
      </c>
      <c r="X636" s="14" t="n">
        <v>227.48</v>
      </c>
      <c r="Y636" s="14" t="n">
        <v>105.93</v>
      </c>
      <c r="Z636" s="14" t="n">
        <v>0.54</v>
      </c>
      <c r="AA636" s="14" t="n">
        <v>0</v>
      </c>
      <c r="AB636" s="14" t="n">
        <v>0</v>
      </c>
      <c r="AC636" s="14" t="n">
        <v>0</v>
      </c>
      <c r="AD636" s="15" t="n">
        <f aca="false">H636*E636/1000</f>
        <v>0</v>
      </c>
      <c r="AE636" s="15" t="n">
        <f aca="false">I636*E636/1000</f>
        <v>0</v>
      </c>
      <c r="AF636" s="16" t="n">
        <f aca="false">ROUND(S636+T636+U636+V636-W636,2)</f>
        <v>0.01</v>
      </c>
      <c r="AG636" s="16" t="n">
        <f aca="false">ROUND(X636-W636-Y636,2)</f>
        <v>0</v>
      </c>
    </row>
    <row r="637" customFormat="false" ht="15" hidden="false" customHeight="false" outlineLevel="0" collapsed="false">
      <c r="A637" s="13" t="s">
        <v>351</v>
      </c>
      <c r="B637" s="13" t="s">
        <v>218</v>
      </c>
      <c r="C637" s="13" t="s">
        <v>269</v>
      </c>
      <c r="D637" s="13" t="s">
        <v>345</v>
      </c>
      <c r="E637" s="14" t="n">
        <v>580</v>
      </c>
      <c r="F637" s="14" t="n">
        <v>8</v>
      </c>
      <c r="G637" s="14" t="n">
        <v>4.64</v>
      </c>
      <c r="H637" s="14"/>
      <c r="I637" s="14"/>
      <c r="J637" s="14" t="n">
        <v>62.52</v>
      </c>
      <c r="K637" s="14" t="n">
        <v>57.88</v>
      </c>
      <c r="L637" s="14" t="n">
        <v>2.11</v>
      </c>
      <c r="M637" s="14" t="n">
        <v>8.78</v>
      </c>
      <c r="N637" s="14" t="n">
        <v>5</v>
      </c>
      <c r="O637" s="14"/>
      <c r="P637" s="14" t="n">
        <v>0.38</v>
      </c>
      <c r="Q637" s="14"/>
      <c r="R637" s="14"/>
      <c r="S637" s="14" t="n">
        <v>74.15</v>
      </c>
      <c r="T637" s="14" t="n">
        <v>0</v>
      </c>
      <c r="U637" s="14" t="n">
        <v>10.74</v>
      </c>
      <c r="V637" s="14" t="n">
        <v>14.89</v>
      </c>
      <c r="W637" s="14" t="n">
        <v>99.78</v>
      </c>
      <c r="X637" s="14" t="n">
        <v>128</v>
      </c>
      <c r="Y637" s="14" t="n">
        <v>28.22</v>
      </c>
      <c r="Z637" s="14" t="n">
        <v>1.31</v>
      </c>
      <c r="AA637" s="14" t="n">
        <v>0</v>
      </c>
      <c r="AB637" s="14" t="n">
        <v>0</v>
      </c>
      <c r="AC637" s="14" t="n">
        <v>0</v>
      </c>
      <c r="AD637" s="15" t="n">
        <f aca="false">H637*E637/1000</f>
        <v>0</v>
      </c>
      <c r="AE637" s="15" t="n">
        <f aca="false">I637*E637/1000</f>
        <v>0</v>
      </c>
      <c r="AF637" s="16" t="n">
        <f aca="false">ROUND(S637+T637+U637+V637-W637,2)</f>
        <v>0</v>
      </c>
      <c r="AG637" s="16" t="n">
        <f aca="false">ROUND(X637-W637-Y637,2)</f>
        <v>0</v>
      </c>
    </row>
    <row r="638" customFormat="false" ht="15" hidden="false" customHeight="false" outlineLevel="0" collapsed="false">
      <c r="A638" s="13" t="s">
        <v>351</v>
      </c>
      <c r="B638" s="13" t="s">
        <v>218</v>
      </c>
      <c r="C638" s="13" t="s">
        <v>269</v>
      </c>
      <c r="D638" s="13" t="s">
        <v>352</v>
      </c>
      <c r="E638" s="14" t="n">
        <v>835</v>
      </c>
      <c r="F638" s="14" t="n">
        <v>1</v>
      </c>
      <c r="G638" s="14" t="n">
        <v>0.835</v>
      </c>
      <c r="H638" s="14"/>
      <c r="I638" s="14"/>
      <c r="J638" s="14" t="n">
        <v>68.63</v>
      </c>
      <c r="K638" s="14" t="n">
        <v>57.24</v>
      </c>
      <c r="L638" s="14" t="n">
        <v>1.92</v>
      </c>
      <c r="M638" s="14" t="n">
        <v>11.74</v>
      </c>
      <c r="N638" s="14" t="n">
        <v>5</v>
      </c>
      <c r="O638" s="14"/>
      <c r="P638" s="14" t="n">
        <v>0.38</v>
      </c>
      <c r="Q638" s="14"/>
      <c r="R638" s="14"/>
      <c r="S638" s="14" t="n">
        <v>76.28</v>
      </c>
      <c r="T638" s="14" t="n">
        <v>0</v>
      </c>
      <c r="U638" s="14" t="n">
        <v>10.74</v>
      </c>
      <c r="V638" s="14" t="n">
        <v>14.03</v>
      </c>
      <c r="W638" s="14" t="n">
        <v>101.06</v>
      </c>
      <c r="X638" s="14" t="n">
        <v>128</v>
      </c>
      <c r="Y638" s="14" t="n">
        <v>26.94</v>
      </c>
      <c r="Z638" s="14" t="n">
        <v>0.22</v>
      </c>
      <c r="AA638" s="14" t="n">
        <v>0</v>
      </c>
      <c r="AB638" s="14" t="n">
        <v>0</v>
      </c>
      <c r="AC638" s="14" t="n">
        <v>0</v>
      </c>
      <c r="AD638" s="15" t="n">
        <f aca="false">H638*E638/1000</f>
        <v>0</v>
      </c>
      <c r="AE638" s="15" t="n">
        <f aca="false">I638*E638/1000</f>
        <v>0</v>
      </c>
      <c r="AF638" s="16" t="n">
        <f aca="false">ROUND(S638+T638+U638+V638-W638,2)</f>
        <v>-0.01</v>
      </c>
      <c r="AG638" s="16" t="n">
        <f aca="false">ROUND(X638-W638-Y638,2)</f>
        <v>0</v>
      </c>
    </row>
    <row r="639" customFormat="false" ht="15" hidden="false" customHeight="false" outlineLevel="0" collapsed="false">
      <c r="A639" s="13" t="s">
        <v>351</v>
      </c>
      <c r="B639" s="13" t="s">
        <v>218</v>
      </c>
      <c r="C639" s="13" t="s">
        <v>235</v>
      </c>
      <c r="D639" s="13" t="s">
        <v>345</v>
      </c>
      <c r="E639" s="14" t="n">
        <v>580</v>
      </c>
      <c r="F639" s="14" t="n">
        <v>2</v>
      </c>
      <c r="G639" s="14" t="n">
        <v>1.16</v>
      </c>
      <c r="H639" s="14"/>
      <c r="I639" s="14"/>
      <c r="J639" s="14" t="n">
        <v>62.52</v>
      </c>
      <c r="K639" s="14" t="n">
        <v>56.74</v>
      </c>
      <c r="L639" s="14" t="n">
        <v>2.11</v>
      </c>
      <c r="M639" s="14" t="n">
        <v>10.02</v>
      </c>
      <c r="N639" s="14" t="n">
        <v>5</v>
      </c>
      <c r="O639" s="14"/>
      <c r="P639" s="14" t="n">
        <v>0.38</v>
      </c>
      <c r="Q639" s="14"/>
      <c r="R639" s="14"/>
      <c r="S639" s="14" t="n">
        <v>74.25</v>
      </c>
      <c r="T639" s="14" t="n">
        <v>0</v>
      </c>
      <c r="U639" s="14" t="n">
        <v>10.74</v>
      </c>
      <c r="V639" s="14" t="n">
        <v>14.89</v>
      </c>
      <c r="W639" s="14" t="n">
        <v>99.87</v>
      </c>
      <c r="X639" s="14" t="n">
        <v>128</v>
      </c>
      <c r="Y639" s="14" t="n">
        <v>28.13</v>
      </c>
      <c r="Z639" s="14" t="n">
        <v>0.33</v>
      </c>
      <c r="AA639" s="14" t="n">
        <v>0</v>
      </c>
      <c r="AB639" s="14" t="n">
        <v>0</v>
      </c>
      <c r="AC639" s="14" t="n">
        <v>0</v>
      </c>
      <c r="AD639" s="15" t="n">
        <f aca="false">H639*E639/1000</f>
        <v>0</v>
      </c>
      <c r="AE639" s="15" t="n">
        <f aca="false">I639*E639/1000</f>
        <v>0</v>
      </c>
      <c r="AF639" s="16" t="n">
        <f aca="false">ROUND(S639+T639+U639+V639-W639,2)</f>
        <v>0.01</v>
      </c>
      <c r="AG639" s="16" t="n">
        <f aca="false">ROUND(X639-W639-Y639,2)</f>
        <v>0</v>
      </c>
    </row>
    <row r="640" customFormat="false" ht="15" hidden="false" customHeight="false" outlineLevel="0" collapsed="false">
      <c r="A640" s="13" t="s">
        <v>351</v>
      </c>
      <c r="B640" s="13" t="s">
        <v>218</v>
      </c>
      <c r="C640" s="13" t="s">
        <v>235</v>
      </c>
      <c r="D640" s="13" t="s">
        <v>352</v>
      </c>
      <c r="E640" s="14" t="n">
        <v>830</v>
      </c>
      <c r="F640" s="14" t="n">
        <v>13</v>
      </c>
      <c r="G640" s="14" t="n">
        <v>10.79</v>
      </c>
      <c r="H640" s="14"/>
      <c r="I640" s="14"/>
      <c r="J640" s="14" t="n">
        <v>68.63</v>
      </c>
      <c r="K640" s="14" t="n">
        <v>56.1</v>
      </c>
      <c r="L640" s="14" t="n">
        <v>1.92</v>
      </c>
      <c r="M640" s="14" t="n">
        <v>13.54</v>
      </c>
      <c r="N640" s="14" t="n">
        <v>5</v>
      </c>
      <c r="O640" s="14"/>
      <c r="P640" s="14" t="n">
        <v>0.38</v>
      </c>
      <c r="Q640" s="14"/>
      <c r="R640" s="14"/>
      <c r="S640" s="14" t="n">
        <v>76.95</v>
      </c>
      <c r="T640" s="14" t="n">
        <v>0</v>
      </c>
      <c r="U640" s="14" t="n">
        <v>10.74</v>
      </c>
      <c r="V640" s="14" t="n">
        <v>14.03</v>
      </c>
      <c r="W640" s="14" t="n">
        <v>101.72</v>
      </c>
      <c r="X640" s="14" t="n">
        <v>128</v>
      </c>
      <c r="Y640" s="14" t="n">
        <v>26.28</v>
      </c>
      <c r="Z640" s="14" t="n">
        <v>2.84</v>
      </c>
      <c r="AA640" s="14" t="n">
        <v>0</v>
      </c>
      <c r="AB640" s="14" t="n">
        <v>0</v>
      </c>
      <c r="AC640" s="14" t="n">
        <v>0</v>
      </c>
      <c r="AD640" s="15" t="n">
        <f aca="false">H640*E640/1000</f>
        <v>0</v>
      </c>
      <c r="AE640" s="15" t="n">
        <f aca="false">I640*E640/1000</f>
        <v>0</v>
      </c>
      <c r="AF640" s="16" t="n">
        <f aca="false">ROUND(S640+T640+U640+V640-W640,2)</f>
        <v>0</v>
      </c>
      <c r="AG640" s="16" t="n">
        <f aca="false">ROUND(X640-W640-Y640,2)</f>
        <v>0</v>
      </c>
    </row>
    <row r="641" customFormat="false" ht="15" hidden="false" customHeight="false" outlineLevel="0" collapsed="false">
      <c r="A641" s="13" t="s">
        <v>351</v>
      </c>
      <c r="B641" s="13" t="s">
        <v>218</v>
      </c>
      <c r="C641" s="13" t="s">
        <v>240</v>
      </c>
      <c r="D641" s="13" t="s">
        <v>345</v>
      </c>
      <c r="E641" s="14" t="n">
        <v>580</v>
      </c>
      <c r="F641" s="14" t="n">
        <v>3</v>
      </c>
      <c r="G641" s="14" t="n">
        <v>1.74</v>
      </c>
      <c r="H641" s="14" t="n">
        <v>3</v>
      </c>
      <c r="I641" s="14"/>
      <c r="J641" s="14" t="n">
        <v>62.52</v>
      </c>
      <c r="K641" s="14" t="n">
        <v>55.63</v>
      </c>
      <c r="L641" s="14" t="n">
        <v>2.11</v>
      </c>
      <c r="M641" s="14" t="n">
        <v>10.02</v>
      </c>
      <c r="N641" s="14" t="n">
        <v>5</v>
      </c>
      <c r="O641" s="14"/>
      <c r="P641" s="14" t="n">
        <v>0.38</v>
      </c>
      <c r="Q641" s="14"/>
      <c r="R641" s="14"/>
      <c r="S641" s="14" t="n">
        <v>73.14</v>
      </c>
      <c r="T641" s="14" t="n">
        <v>0</v>
      </c>
      <c r="U641" s="14" t="n">
        <v>10.74</v>
      </c>
      <c r="V641" s="14" t="n">
        <v>14.89</v>
      </c>
      <c r="W641" s="14" t="n">
        <v>98.76</v>
      </c>
      <c r="X641" s="14" t="n">
        <v>128</v>
      </c>
      <c r="Y641" s="14" t="n">
        <v>29.24</v>
      </c>
      <c r="Z641" s="14" t="n">
        <v>-0.72</v>
      </c>
      <c r="AA641" s="14" t="n">
        <v>0.72</v>
      </c>
      <c r="AB641" s="14" t="n">
        <v>0</v>
      </c>
      <c r="AC641" s="14" t="n">
        <v>0.51</v>
      </c>
      <c r="AD641" s="15" t="n">
        <f aca="false">H641*E641/1000</f>
        <v>1.74</v>
      </c>
      <c r="AE641" s="15" t="n">
        <f aca="false">I641*E641/1000</f>
        <v>0</v>
      </c>
      <c r="AF641" s="16" t="n">
        <f aca="false">ROUND(S641+T641+U641+V641-W641,2)</f>
        <v>0.01</v>
      </c>
      <c r="AG641" s="16" t="n">
        <f aca="false">ROUND(X641-W641-Y641,2)</f>
        <v>0</v>
      </c>
    </row>
    <row r="642" customFormat="false" ht="15" hidden="false" customHeight="false" outlineLevel="0" collapsed="false">
      <c r="A642" s="13" t="s">
        <v>351</v>
      </c>
      <c r="B642" s="13" t="s">
        <v>218</v>
      </c>
      <c r="C642" s="13" t="s">
        <v>246</v>
      </c>
      <c r="D642" s="13" t="s">
        <v>353</v>
      </c>
      <c r="E642" s="14" t="n">
        <v>420</v>
      </c>
      <c r="F642" s="14" t="n">
        <v>20</v>
      </c>
      <c r="G642" s="14" t="n">
        <v>8.4</v>
      </c>
      <c r="H642" s="14"/>
      <c r="I642" s="14"/>
      <c r="J642" s="14" t="n">
        <v>62.52</v>
      </c>
      <c r="K642" s="14" t="n">
        <v>55.39</v>
      </c>
      <c r="L642" s="14" t="n">
        <v>2.11</v>
      </c>
      <c r="M642" s="14" t="n">
        <v>11.11</v>
      </c>
      <c r="N642" s="14" t="n">
        <v>5</v>
      </c>
      <c r="O642" s="14"/>
      <c r="P642" s="14" t="n">
        <v>0.38</v>
      </c>
      <c r="Q642" s="14"/>
      <c r="R642" s="14" t="n">
        <v>3.2</v>
      </c>
      <c r="S642" s="14" t="n">
        <v>77.2</v>
      </c>
      <c r="T642" s="14" t="n">
        <v>0</v>
      </c>
      <c r="U642" s="14" t="n">
        <v>7.74</v>
      </c>
      <c r="V642" s="14" t="n">
        <v>18.57</v>
      </c>
      <c r="W642" s="14" t="n">
        <v>103.51</v>
      </c>
      <c r="X642" s="14" t="n">
        <v>128</v>
      </c>
      <c r="Y642" s="14" t="n">
        <v>24.49</v>
      </c>
      <c r="Z642" s="14" t="n">
        <v>2.06</v>
      </c>
      <c r="AA642" s="14" t="n">
        <v>0</v>
      </c>
      <c r="AB642" s="14" t="n">
        <v>0</v>
      </c>
      <c r="AC642" s="14" t="n">
        <v>0</v>
      </c>
      <c r="AD642" s="15" t="n">
        <f aca="false">H642*E642/1000</f>
        <v>0</v>
      </c>
      <c r="AE642" s="15" t="n">
        <f aca="false">I642*E642/1000</f>
        <v>0</v>
      </c>
      <c r="AF642" s="16" t="n">
        <f aca="false">ROUND(S642+T642+U642+V642-W642,2)</f>
        <v>0</v>
      </c>
      <c r="AG642" s="16" t="n">
        <f aca="false">ROUND(X642-W642-Y642,2)</f>
        <v>0</v>
      </c>
    </row>
    <row r="643" customFormat="false" ht="15" hidden="false" customHeight="false" outlineLevel="0" collapsed="false">
      <c r="A643" s="13" t="s">
        <v>351</v>
      </c>
      <c r="B643" s="13" t="s">
        <v>256</v>
      </c>
      <c r="C643" s="13" t="s">
        <v>259</v>
      </c>
      <c r="D643" s="13" t="s">
        <v>352</v>
      </c>
      <c r="E643" s="14" t="n">
        <v>830</v>
      </c>
      <c r="F643" s="14" t="n">
        <v>6</v>
      </c>
      <c r="G643" s="14" t="n">
        <v>4.98</v>
      </c>
      <c r="H643" s="14"/>
      <c r="I643" s="14"/>
      <c r="J643" s="14" t="n">
        <v>68.63</v>
      </c>
      <c r="K643" s="14" t="n">
        <v>54.07</v>
      </c>
      <c r="L643" s="14" t="n">
        <v>1.92</v>
      </c>
      <c r="M643" s="14" t="n">
        <v>15.95</v>
      </c>
      <c r="N643" s="14" t="n">
        <v>5</v>
      </c>
      <c r="O643" s="14"/>
      <c r="P643" s="14" t="n">
        <v>0.38</v>
      </c>
      <c r="Q643" s="14"/>
      <c r="R643" s="14"/>
      <c r="S643" s="14" t="n">
        <v>77.32</v>
      </c>
      <c r="T643" s="14" t="n">
        <v>0</v>
      </c>
      <c r="U643" s="14" t="n">
        <v>8.65</v>
      </c>
      <c r="V643" s="14" t="n">
        <v>14.64</v>
      </c>
      <c r="W643" s="14" t="n">
        <v>100.61</v>
      </c>
      <c r="X643" s="14" t="n">
        <v>122</v>
      </c>
      <c r="Y643" s="14" t="n">
        <v>21.39</v>
      </c>
      <c r="Z643" s="14" t="n">
        <v>1.07</v>
      </c>
      <c r="AA643" s="14" t="n">
        <v>0</v>
      </c>
      <c r="AB643" s="14" t="n">
        <v>0</v>
      </c>
      <c r="AC643" s="14" t="n">
        <v>0</v>
      </c>
      <c r="AD643" s="15" t="n">
        <f aca="false">H643*E643/1000</f>
        <v>0</v>
      </c>
      <c r="AE643" s="15" t="n">
        <f aca="false">I643*E643/1000</f>
        <v>0</v>
      </c>
      <c r="AF643" s="16" t="n">
        <f aca="false">ROUND(S643+T643+U643+V643-W643,2)</f>
        <v>0</v>
      </c>
      <c r="AG643" s="16" t="n">
        <f aca="false">ROUND(X643-W643-Y643,2)</f>
        <v>0</v>
      </c>
    </row>
    <row r="644" customFormat="false" ht="15" hidden="false" customHeight="false" outlineLevel="0" collapsed="false">
      <c r="A644" s="13" t="s">
        <v>351</v>
      </c>
      <c r="B644" s="13" t="s">
        <v>256</v>
      </c>
      <c r="C644" s="13" t="s">
        <v>263</v>
      </c>
      <c r="D644" s="13" t="s">
        <v>352</v>
      </c>
      <c r="E644" s="14" t="n">
        <v>830</v>
      </c>
      <c r="F644" s="14" t="n">
        <v>4</v>
      </c>
      <c r="G644" s="14" t="n">
        <v>3.32</v>
      </c>
      <c r="H644" s="14"/>
      <c r="I644" s="14"/>
      <c r="J644" s="14" t="n">
        <v>68.63</v>
      </c>
      <c r="K644" s="14" t="n">
        <v>53.64</v>
      </c>
      <c r="L644" s="14" t="n">
        <v>1.92</v>
      </c>
      <c r="M644" s="14" t="n">
        <v>14.13</v>
      </c>
      <c r="N644" s="14" t="n">
        <v>5</v>
      </c>
      <c r="O644" s="14"/>
      <c r="P644" s="14" t="n">
        <v>0.38</v>
      </c>
      <c r="Q644" s="14"/>
      <c r="R644" s="14"/>
      <c r="S644" s="14" t="n">
        <v>75.08</v>
      </c>
      <c r="T644" s="14" t="n">
        <v>0</v>
      </c>
      <c r="U644" s="14" t="n">
        <v>8.65</v>
      </c>
      <c r="V644" s="14" t="n">
        <v>14.64</v>
      </c>
      <c r="W644" s="14" t="n">
        <v>98.36</v>
      </c>
      <c r="X644" s="14" t="n">
        <v>122</v>
      </c>
      <c r="Y644" s="14" t="n">
        <v>23.64</v>
      </c>
      <c r="Z644" s="14" t="n">
        <v>0.78</v>
      </c>
      <c r="AA644" s="14" t="n">
        <v>0</v>
      </c>
      <c r="AB644" s="14" t="n">
        <v>0</v>
      </c>
      <c r="AC644" s="14" t="n">
        <v>0</v>
      </c>
      <c r="AD644" s="15" t="n">
        <f aca="false">H644*E644/1000</f>
        <v>0</v>
      </c>
      <c r="AE644" s="15" t="n">
        <f aca="false">I644*E644/1000</f>
        <v>0</v>
      </c>
      <c r="AF644" s="16" t="n">
        <f aca="false">ROUND(S644+T644+U644+V644-W644,2)</f>
        <v>0.01</v>
      </c>
      <c r="AG644" s="16" t="n">
        <f aca="false">ROUND(X644-W644-Y644,2)</f>
        <v>0</v>
      </c>
    </row>
    <row r="645" customFormat="false" ht="15" hidden="false" customHeight="false" outlineLevel="0" collapsed="false">
      <c r="A645" s="13" t="s">
        <v>351</v>
      </c>
      <c r="B645" s="13" t="s">
        <v>277</v>
      </c>
      <c r="C645" s="13" t="s">
        <v>263</v>
      </c>
      <c r="D645" s="13" t="s">
        <v>352</v>
      </c>
      <c r="E645" s="14" t="n">
        <v>830</v>
      </c>
      <c r="F645" s="14" t="n">
        <v>8</v>
      </c>
      <c r="G645" s="14" t="n">
        <v>6.64</v>
      </c>
      <c r="H645" s="14"/>
      <c r="I645" s="14"/>
      <c r="J645" s="14" t="n">
        <v>68.63</v>
      </c>
      <c r="K645" s="14" t="n">
        <v>49.66</v>
      </c>
      <c r="L645" s="14" t="n">
        <v>2.45</v>
      </c>
      <c r="M645" s="14" t="n">
        <v>14.24</v>
      </c>
      <c r="N645" s="14" t="n">
        <v>5</v>
      </c>
      <c r="O645" s="14"/>
      <c r="P645" s="14" t="n">
        <v>0.38</v>
      </c>
      <c r="Q645" s="14"/>
      <c r="R645" s="14"/>
      <c r="S645" s="14" t="n">
        <v>71.73</v>
      </c>
      <c r="T645" s="14" t="n">
        <v>0</v>
      </c>
      <c r="U645" s="14" t="n">
        <v>10.65</v>
      </c>
      <c r="V645" s="14" t="n">
        <v>15.52</v>
      </c>
      <c r="W645" s="14" t="n">
        <v>97.89</v>
      </c>
      <c r="X645" s="14" t="n">
        <v>125</v>
      </c>
      <c r="Y645" s="14" t="n">
        <v>27.11</v>
      </c>
      <c r="Z645" s="14" t="n">
        <v>1.8</v>
      </c>
      <c r="AA645" s="14" t="n">
        <v>0</v>
      </c>
      <c r="AB645" s="14" t="n">
        <v>0</v>
      </c>
      <c r="AC645" s="14" t="n">
        <v>0</v>
      </c>
      <c r="AD645" s="15" t="n">
        <f aca="false">H645*E645/1000</f>
        <v>0</v>
      </c>
      <c r="AE645" s="15" t="n">
        <f aca="false">I645*E645/1000</f>
        <v>0</v>
      </c>
      <c r="AF645" s="16" t="n">
        <f aca="false">ROUND(S645+T645+U645+V645-W645,2)</f>
        <v>0.01</v>
      </c>
      <c r="AG645" s="16" t="n">
        <f aca="false">ROUND(X645-W645-Y645,2)</f>
        <v>0</v>
      </c>
    </row>
    <row r="646" customFormat="false" ht="15" hidden="false" customHeight="false" outlineLevel="0" collapsed="false">
      <c r="A646" s="13" t="s">
        <v>351</v>
      </c>
      <c r="B646" s="13" t="s">
        <v>277</v>
      </c>
      <c r="C646" s="13" t="s">
        <v>269</v>
      </c>
      <c r="D646" s="13" t="s">
        <v>345</v>
      </c>
      <c r="E646" s="14" t="n">
        <v>580</v>
      </c>
      <c r="F646" s="14" t="n">
        <v>4</v>
      </c>
      <c r="G646" s="14" t="n">
        <v>2.32</v>
      </c>
      <c r="H646" s="14"/>
      <c r="I646" s="14"/>
      <c r="J646" s="14" t="n">
        <v>72.99</v>
      </c>
      <c r="K646" s="14" t="n">
        <v>47.96</v>
      </c>
      <c r="L646" s="14" t="n">
        <v>1.81</v>
      </c>
      <c r="M646" s="14" t="n">
        <v>9.84</v>
      </c>
      <c r="N646" s="14" t="n">
        <v>6.5</v>
      </c>
      <c r="O646" s="14"/>
      <c r="P646" s="14" t="n">
        <v>0.38</v>
      </c>
      <c r="Q646" s="14"/>
      <c r="R646" s="14"/>
      <c r="S646" s="14" t="n">
        <v>66.49</v>
      </c>
      <c r="T646" s="14" t="n">
        <v>0</v>
      </c>
      <c r="U646" s="14" t="n">
        <v>10.65</v>
      </c>
      <c r="V646" s="14" t="n">
        <v>14.8</v>
      </c>
      <c r="W646" s="14" t="n">
        <v>91.94</v>
      </c>
      <c r="X646" s="14" t="n">
        <v>130</v>
      </c>
      <c r="Y646" s="14" t="n">
        <v>38.06</v>
      </c>
      <c r="Z646" s="14" t="n">
        <v>0.88</v>
      </c>
      <c r="AA646" s="14" t="n">
        <v>0</v>
      </c>
      <c r="AB646" s="14" t="n">
        <v>0</v>
      </c>
      <c r="AC646" s="14" t="n">
        <v>0</v>
      </c>
      <c r="AD646" s="15" t="n">
        <f aca="false">H646*E646/1000</f>
        <v>0</v>
      </c>
      <c r="AE646" s="15" t="n">
        <f aca="false">I646*E646/1000</f>
        <v>0</v>
      </c>
      <c r="AF646" s="16" t="n">
        <f aca="false">ROUND(S646+T646+U646+V646-W646,2)</f>
        <v>0</v>
      </c>
      <c r="AG646" s="16" t="n">
        <f aca="false">ROUND(X646-W646-Y646,2)</f>
        <v>0</v>
      </c>
    </row>
    <row r="647" customFormat="false" ht="15" hidden="false" customHeight="false" outlineLevel="0" collapsed="false">
      <c r="A647" s="13" t="s">
        <v>351</v>
      </c>
      <c r="B647" s="13" t="s">
        <v>277</v>
      </c>
      <c r="C647" s="13" t="s">
        <v>269</v>
      </c>
      <c r="D647" s="13" t="s">
        <v>354</v>
      </c>
      <c r="E647" s="14" t="n">
        <v>355</v>
      </c>
      <c r="F647" s="14" t="n">
        <v>5</v>
      </c>
      <c r="G647" s="14" t="n">
        <v>1.78</v>
      </c>
      <c r="H647" s="14"/>
      <c r="I647" s="14"/>
      <c r="J647" s="14" t="n">
        <v>65.42</v>
      </c>
      <c r="K647" s="14" t="n">
        <v>48.57</v>
      </c>
      <c r="L647" s="14" t="n">
        <v>2.02</v>
      </c>
      <c r="M647" s="14" t="n">
        <v>16.91</v>
      </c>
      <c r="N647" s="14" t="n">
        <v>6.5</v>
      </c>
      <c r="O647" s="14"/>
      <c r="P647" s="14" t="n">
        <v>0.38</v>
      </c>
      <c r="Q647" s="14"/>
      <c r="R647" s="14"/>
      <c r="S647" s="14" t="n">
        <v>74.39</v>
      </c>
      <c r="T647" s="14" t="n">
        <v>0</v>
      </c>
      <c r="U647" s="14" t="n">
        <v>10.65</v>
      </c>
      <c r="V647" s="14" t="n">
        <v>21.67</v>
      </c>
      <c r="W647" s="14" t="n">
        <v>106.71</v>
      </c>
      <c r="X647" s="14" t="n">
        <v>128</v>
      </c>
      <c r="Y647" s="14" t="n">
        <v>21.29</v>
      </c>
      <c r="Z647" s="14" t="n">
        <v>0.38</v>
      </c>
      <c r="AA647" s="14" t="n">
        <v>0</v>
      </c>
      <c r="AB647" s="14" t="n">
        <v>0</v>
      </c>
      <c r="AC647" s="14" t="n">
        <v>0</v>
      </c>
      <c r="AD647" s="15" t="n">
        <f aca="false">H647*E647/1000</f>
        <v>0</v>
      </c>
      <c r="AE647" s="15" t="n">
        <f aca="false">I647*E647/1000</f>
        <v>0</v>
      </c>
      <c r="AF647" s="16" t="n">
        <f aca="false">ROUND(S647+T647+U647+V647-W647,2)</f>
        <v>0</v>
      </c>
      <c r="AG647" s="16" t="n">
        <f aca="false">ROUND(X647-W647-Y647,2)</f>
        <v>0</v>
      </c>
    </row>
    <row r="648" customFormat="false" ht="15" hidden="false" customHeight="false" outlineLevel="0" collapsed="false">
      <c r="A648" s="13" t="s">
        <v>351</v>
      </c>
      <c r="B648" s="13" t="s">
        <v>277</v>
      </c>
      <c r="C648" s="13" t="s">
        <v>235</v>
      </c>
      <c r="D648" s="13" t="s">
        <v>345</v>
      </c>
      <c r="E648" s="14" t="n">
        <v>580</v>
      </c>
      <c r="F648" s="14" t="n">
        <v>2</v>
      </c>
      <c r="G648" s="14" t="n">
        <v>1.16</v>
      </c>
      <c r="H648" s="14"/>
      <c r="I648" s="14"/>
      <c r="J648" s="14" t="n">
        <v>72.99</v>
      </c>
      <c r="K648" s="14" t="n">
        <v>46.95</v>
      </c>
      <c r="L648" s="14" t="n">
        <v>1.81</v>
      </c>
      <c r="M648" s="14" t="n">
        <v>9.63</v>
      </c>
      <c r="N648" s="14" t="n">
        <v>7</v>
      </c>
      <c r="O648" s="14"/>
      <c r="P648" s="14" t="n">
        <v>0.38</v>
      </c>
      <c r="Q648" s="14"/>
      <c r="R648" s="14"/>
      <c r="S648" s="14" t="n">
        <v>65.78</v>
      </c>
      <c r="T648" s="14" t="n">
        <v>0</v>
      </c>
      <c r="U648" s="14" t="n">
        <v>10.65</v>
      </c>
      <c r="V648" s="14" t="n">
        <v>20.62</v>
      </c>
      <c r="W648" s="14" t="n">
        <v>97.05</v>
      </c>
      <c r="X648" s="14" t="n">
        <v>130</v>
      </c>
      <c r="Y648" s="14" t="n">
        <v>32.95</v>
      </c>
      <c r="Z648" s="14" t="n">
        <v>0.38</v>
      </c>
      <c r="AA648" s="14" t="n">
        <v>0</v>
      </c>
      <c r="AB648" s="14" t="n">
        <v>0</v>
      </c>
      <c r="AC648" s="14" t="n">
        <v>0</v>
      </c>
      <c r="AD648" s="15" t="n">
        <f aca="false">H648*E648/1000</f>
        <v>0</v>
      </c>
      <c r="AE648" s="15" t="n">
        <f aca="false">I648*E648/1000</f>
        <v>0</v>
      </c>
      <c r="AF648" s="16" t="n">
        <f aca="false">ROUND(S648+T648+U648+V648-W648,2)</f>
        <v>0</v>
      </c>
      <c r="AG648" s="16" t="n">
        <f aca="false">ROUND(X648-W648-Y648,2)</f>
        <v>0</v>
      </c>
    </row>
    <row r="649" customFormat="false" ht="15" hidden="false" customHeight="false" outlineLevel="0" collapsed="false">
      <c r="A649" s="13" t="s">
        <v>351</v>
      </c>
      <c r="B649" s="13" t="s">
        <v>277</v>
      </c>
      <c r="C649" s="13" t="s">
        <v>235</v>
      </c>
      <c r="D649" s="13" t="s">
        <v>354</v>
      </c>
      <c r="E649" s="14" t="n">
        <v>355</v>
      </c>
      <c r="F649" s="14" t="n">
        <v>12</v>
      </c>
      <c r="G649" s="14" t="n">
        <v>4.26</v>
      </c>
      <c r="H649" s="14"/>
      <c r="I649" s="14"/>
      <c r="J649" s="14" t="n">
        <v>65.42</v>
      </c>
      <c r="K649" s="14" t="n">
        <v>47.55</v>
      </c>
      <c r="L649" s="14" t="n">
        <v>2.02</v>
      </c>
      <c r="M649" s="14" t="n">
        <v>16.54</v>
      </c>
      <c r="N649" s="14" t="n">
        <v>7</v>
      </c>
      <c r="O649" s="14"/>
      <c r="P649" s="14" t="n">
        <v>0.38</v>
      </c>
      <c r="Q649" s="14"/>
      <c r="R649" s="14"/>
      <c r="S649" s="14" t="n">
        <v>73.49</v>
      </c>
      <c r="T649" s="14" t="n">
        <v>0</v>
      </c>
      <c r="U649" s="14" t="n">
        <v>10.65</v>
      </c>
      <c r="V649" s="14" t="n">
        <v>21.67</v>
      </c>
      <c r="W649" s="14" t="n">
        <v>105.82</v>
      </c>
      <c r="X649" s="14" t="n">
        <v>128</v>
      </c>
      <c r="Y649" s="14" t="n">
        <v>22.18</v>
      </c>
      <c r="Z649" s="14" t="n">
        <v>0.95</v>
      </c>
      <c r="AA649" s="14" t="n">
        <v>0</v>
      </c>
      <c r="AB649" s="14" t="n">
        <v>0</v>
      </c>
      <c r="AC649" s="14" t="n">
        <v>0</v>
      </c>
      <c r="AD649" s="15" t="n">
        <f aca="false">H649*E649/1000</f>
        <v>0</v>
      </c>
      <c r="AE649" s="15" t="n">
        <f aca="false">I649*E649/1000</f>
        <v>0</v>
      </c>
      <c r="AF649" s="16" t="n">
        <f aca="false">ROUND(S649+T649+U649+V649-W649,2)</f>
        <v>-0.01</v>
      </c>
      <c r="AG649" s="16" t="n">
        <f aca="false">ROUND(X649-W649-Y649,2)</f>
        <v>0</v>
      </c>
    </row>
    <row r="650" customFormat="false" ht="15" hidden="false" customHeight="false" outlineLevel="0" collapsed="false">
      <c r="A650" s="13" t="s">
        <v>351</v>
      </c>
      <c r="B650" s="13" t="s">
        <v>291</v>
      </c>
      <c r="C650" s="13" t="s">
        <v>226</v>
      </c>
      <c r="D650" s="13" t="s">
        <v>345</v>
      </c>
      <c r="E650" s="14" t="n">
        <v>580</v>
      </c>
      <c r="F650" s="14" t="n">
        <v>1</v>
      </c>
      <c r="G650" s="14" t="n">
        <v>0.58</v>
      </c>
      <c r="H650" s="14"/>
      <c r="I650" s="14"/>
      <c r="J650" s="14" t="n">
        <v>72.99</v>
      </c>
      <c r="K650" s="14" t="n">
        <v>47.03</v>
      </c>
      <c r="L650" s="14" t="n">
        <v>1.85</v>
      </c>
      <c r="M650" s="14" t="n">
        <v>10.49</v>
      </c>
      <c r="N650" s="14" t="n">
        <v>5</v>
      </c>
      <c r="O650" s="14"/>
      <c r="P650" s="14" t="n">
        <v>0.38</v>
      </c>
      <c r="Q650" s="14"/>
      <c r="R650" s="14"/>
      <c r="S650" s="14" t="n">
        <v>64.75</v>
      </c>
      <c r="T650" s="14" t="n">
        <v>0</v>
      </c>
      <c r="U650" s="14" t="n">
        <v>10</v>
      </c>
      <c r="V650" s="14" t="n">
        <v>14.04</v>
      </c>
      <c r="W650" s="14" t="n">
        <v>88.78</v>
      </c>
      <c r="X650" s="14" t="n">
        <v>130</v>
      </c>
      <c r="Y650" s="14" t="n">
        <v>41.22</v>
      </c>
      <c r="Z650" s="14" t="n">
        <v>0.24</v>
      </c>
      <c r="AA650" s="14" t="n">
        <v>0</v>
      </c>
      <c r="AB650" s="14" t="n">
        <v>0</v>
      </c>
      <c r="AC650" s="14" t="n">
        <v>0</v>
      </c>
      <c r="AD650" s="15" t="n">
        <f aca="false">H650*E650/1000</f>
        <v>0</v>
      </c>
      <c r="AE650" s="15" t="n">
        <f aca="false">I650*E650/1000</f>
        <v>0</v>
      </c>
      <c r="AF650" s="16" t="n">
        <f aca="false">ROUND(S650+T650+U650+V650-W650,2)</f>
        <v>0.01</v>
      </c>
      <c r="AG650" s="16" t="n">
        <f aca="false">ROUND(X650-W650-Y650,2)</f>
        <v>0</v>
      </c>
    </row>
    <row r="651" customFormat="false" ht="15" hidden="false" customHeight="false" outlineLevel="0" collapsed="false">
      <c r="A651" s="13" t="s">
        <v>351</v>
      </c>
      <c r="B651" s="13" t="s">
        <v>291</v>
      </c>
      <c r="C651" s="13" t="s">
        <v>226</v>
      </c>
      <c r="D651" s="13" t="s">
        <v>354</v>
      </c>
      <c r="E651" s="14" t="n">
        <v>355</v>
      </c>
      <c r="F651" s="14" t="n">
        <v>1</v>
      </c>
      <c r="G651" s="14" t="n">
        <v>0.36</v>
      </c>
      <c r="H651" s="14"/>
      <c r="I651" s="14"/>
      <c r="J651" s="14" t="n">
        <v>65.42</v>
      </c>
      <c r="K651" s="14" t="n">
        <v>47.63</v>
      </c>
      <c r="L651" s="14" t="n">
        <v>2.06</v>
      </c>
      <c r="M651" s="14" t="n">
        <v>18.08</v>
      </c>
      <c r="N651" s="14" t="n">
        <v>5</v>
      </c>
      <c r="O651" s="14"/>
      <c r="P651" s="14" t="n">
        <v>0.38</v>
      </c>
      <c r="Q651" s="14"/>
      <c r="R651" s="14"/>
      <c r="S651" s="14" t="n">
        <v>73.16</v>
      </c>
      <c r="T651" s="14" t="n">
        <v>0</v>
      </c>
      <c r="U651" s="14" t="n">
        <v>10</v>
      </c>
      <c r="V651" s="14" t="n">
        <v>15.05</v>
      </c>
      <c r="W651" s="14" t="n">
        <v>98.21</v>
      </c>
      <c r="X651" s="14" t="n">
        <v>128</v>
      </c>
      <c r="Y651" s="14" t="n">
        <v>29.79</v>
      </c>
      <c r="Z651" s="14" t="n">
        <v>0.11</v>
      </c>
      <c r="AA651" s="14" t="n">
        <v>0</v>
      </c>
      <c r="AB651" s="14" t="n">
        <v>0</v>
      </c>
      <c r="AC651" s="14" t="n">
        <v>0</v>
      </c>
      <c r="AD651" s="15" t="n">
        <f aca="false">H651*E651/1000</f>
        <v>0</v>
      </c>
      <c r="AE651" s="15" t="n">
        <f aca="false">I651*E651/1000</f>
        <v>0</v>
      </c>
      <c r="AF651" s="16" t="n">
        <f aca="false">ROUND(S651+T651+U651+V651-W651,2)</f>
        <v>0</v>
      </c>
      <c r="AG651" s="16" t="n">
        <f aca="false">ROUND(X651-W651-Y651,2)</f>
        <v>0</v>
      </c>
    </row>
    <row r="652" customFormat="false" ht="15" hidden="false" customHeight="false" outlineLevel="0" collapsed="false">
      <c r="A652" s="13" t="s">
        <v>351</v>
      </c>
      <c r="B652" s="13" t="s">
        <v>291</v>
      </c>
      <c r="C652" s="13" t="s">
        <v>269</v>
      </c>
      <c r="D652" s="13" t="s">
        <v>354</v>
      </c>
      <c r="E652" s="14" t="n">
        <v>355</v>
      </c>
      <c r="F652" s="14" t="n">
        <v>7</v>
      </c>
      <c r="G652" s="14" t="n">
        <v>2.49</v>
      </c>
      <c r="H652" s="14"/>
      <c r="I652" s="14"/>
      <c r="J652" s="14" t="n">
        <v>65.42</v>
      </c>
      <c r="K652" s="14" t="n">
        <v>46.89</v>
      </c>
      <c r="L652" s="14" t="n">
        <v>1.47</v>
      </c>
      <c r="M652" s="14" t="n">
        <v>17.2</v>
      </c>
      <c r="N652" s="14" t="n">
        <v>7</v>
      </c>
      <c r="O652" s="14"/>
      <c r="P652" s="14" t="n">
        <v>0.38</v>
      </c>
      <c r="Q652" s="14"/>
      <c r="R652" s="14"/>
      <c r="S652" s="14" t="n">
        <v>72.94</v>
      </c>
      <c r="T652" s="14" t="n">
        <v>0</v>
      </c>
      <c r="U652" s="14" t="n">
        <v>10</v>
      </c>
      <c r="V652" s="14" t="n">
        <v>14.94</v>
      </c>
      <c r="W652" s="14" t="n">
        <v>97.88</v>
      </c>
      <c r="X652" s="14" t="n">
        <v>128</v>
      </c>
      <c r="Y652" s="14" t="n">
        <v>30.12</v>
      </c>
      <c r="Z652" s="14" t="n">
        <v>0.75</v>
      </c>
      <c r="AA652" s="14" t="n">
        <v>0</v>
      </c>
      <c r="AB652" s="14" t="n">
        <v>0</v>
      </c>
      <c r="AC652" s="14" t="n">
        <v>0</v>
      </c>
      <c r="AD652" s="15" t="n">
        <f aca="false">H652*E652/1000</f>
        <v>0</v>
      </c>
      <c r="AE652" s="15" t="n">
        <f aca="false">I652*E652/1000</f>
        <v>0</v>
      </c>
      <c r="AF652" s="16" t="n">
        <f aca="false">ROUND(S652+T652+U652+V652-W652,2)</f>
        <v>0</v>
      </c>
      <c r="AG652" s="16" t="n">
        <f aca="false">ROUND(X652-W652-Y652,2)</f>
        <v>0</v>
      </c>
    </row>
    <row r="653" customFormat="false" ht="15" hidden="false" customHeight="false" outlineLevel="0" collapsed="false">
      <c r="A653" s="13" t="s">
        <v>351</v>
      </c>
      <c r="B653" s="13" t="s">
        <v>291</v>
      </c>
      <c r="C653" s="13" t="s">
        <v>235</v>
      </c>
      <c r="D653" s="13" t="s">
        <v>353</v>
      </c>
      <c r="E653" s="14" t="n">
        <v>440</v>
      </c>
      <c r="F653" s="14" t="n">
        <v>10</v>
      </c>
      <c r="G653" s="14" t="n">
        <v>4.4</v>
      </c>
      <c r="H653" s="14"/>
      <c r="I653" s="14"/>
      <c r="J653" s="14" t="n">
        <v>66.37</v>
      </c>
      <c r="K653" s="14" t="n">
        <v>46.02</v>
      </c>
      <c r="L653" s="14" t="n">
        <v>1.45</v>
      </c>
      <c r="M653" s="14" t="n">
        <v>10.66</v>
      </c>
      <c r="N653" s="14" t="n">
        <v>5</v>
      </c>
      <c r="O653" s="14"/>
      <c r="P653" s="14" t="n">
        <v>0.38</v>
      </c>
      <c r="Q653" s="14"/>
      <c r="R653" s="14" t="n">
        <v>3.2</v>
      </c>
      <c r="S653" s="14" t="n">
        <v>66.7</v>
      </c>
      <c r="T653" s="14" t="n">
        <v>0</v>
      </c>
      <c r="U653" s="14" t="n">
        <v>10</v>
      </c>
      <c r="V653" s="14" t="n">
        <v>19.56</v>
      </c>
      <c r="W653" s="14" t="n">
        <v>96.27</v>
      </c>
      <c r="X653" s="14" t="n">
        <v>128</v>
      </c>
      <c r="Y653" s="14" t="n">
        <v>31.73</v>
      </c>
      <c r="Z653" s="14" t="n">
        <v>1.4</v>
      </c>
      <c r="AA653" s="14" t="n">
        <v>0</v>
      </c>
      <c r="AB653" s="14" t="n">
        <v>0</v>
      </c>
      <c r="AC653" s="14" t="n">
        <v>0</v>
      </c>
      <c r="AD653" s="15" t="n">
        <f aca="false">H653*E653/1000</f>
        <v>0</v>
      </c>
      <c r="AE653" s="15" t="n">
        <f aca="false">I653*E653/1000</f>
        <v>0</v>
      </c>
      <c r="AF653" s="16" t="n">
        <f aca="false">ROUND(S653+T653+U653+V653-W653,2)</f>
        <v>-0.01</v>
      </c>
      <c r="AG653" s="16" t="n">
        <f aca="false">ROUND(X653-W653-Y653,2)</f>
        <v>0</v>
      </c>
    </row>
    <row r="654" customFormat="false" ht="15" hidden="false" customHeight="false" outlineLevel="0" collapsed="false">
      <c r="A654" s="13" t="s">
        <v>351</v>
      </c>
      <c r="B654" s="13" t="s">
        <v>291</v>
      </c>
      <c r="C654" s="13" t="s">
        <v>240</v>
      </c>
      <c r="D654" s="13" t="s">
        <v>353</v>
      </c>
      <c r="E654" s="14" t="n">
        <v>440</v>
      </c>
      <c r="F654" s="14" t="n">
        <v>5</v>
      </c>
      <c r="G654" s="14" t="n">
        <v>2.2</v>
      </c>
      <c r="H654" s="14"/>
      <c r="I654" s="14"/>
      <c r="J654" s="14" t="n">
        <v>66.37</v>
      </c>
      <c r="K654" s="14" t="n">
        <v>46.07</v>
      </c>
      <c r="L654" s="14" t="n">
        <v>1.45</v>
      </c>
      <c r="M654" s="14" t="n">
        <v>10.66</v>
      </c>
      <c r="N654" s="14" t="n">
        <v>5</v>
      </c>
      <c r="O654" s="14"/>
      <c r="P654" s="14" t="n">
        <v>0.38</v>
      </c>
      <c r="Q654" s="14"/>
      <c r="R654" s="14" t="n">
        <v>3.2</v>
      </c>
      <c r="S654" s="14" t="n">
        <v>66.76</v>
      </c>
      <c r="T654" s="14" t="n">
        <v>0</v>
      </c>
      <c r="U654" s="14" t="n">
        <v>10</v>
      </c>
      <c r="V654" s="14" t="n">
        <v>19.56</v>
      </c>
      <c r="W654" s="14" t="n">
        <v>96.32</v>
      </c>
      <c r="X654" s="14" t="n">
        <v>128</v>
      </c>
      <c r="Y654" s="14" t="n">
        <v>31.68</v>
      </c>
      <c r="Z654" s="14" t="n">
        <v>0.7</v>
      </c>
      <c r="AA654" s="14" t="n">
        <v>0</v>
      </c>
      <c r="AB654" s="14" t="n">
        <v>0</v>
      </c>
      <c r="AC654" s="14" t="n">
        <v>0</v>
      </c>
      <c r="AD654" s="15" t="n">
        <f aca="false">H654*E654/1000</f>
        <v>0</v>
      </c>
      <c r="AE654" s="15" t="n">
        <f aca="false">I654*E654/1000</f>
        <v>0</v>
      </c>
      <c r="AF654" s="16" t="n">
        <f aca="false">ROUND(S654+T654+U654+V654-W654,2)</f>
        <v>0</v>
      </c>
      <c r="AG654" s="16" t="n">
        <f aca="false">ROUND(X654-W654-Y654,2)</f>
        <v>0</v>
      </c>
    </row>
    <row r="655" customFormat="false" ht="15" hidden="false" customHeight="false" outlineLevel="0" collapsed="false">
      <c r="A655" s="13" t="s">
        <v>351</v>
      </c>
      <c r="B655" s="13" t="s">
        <v>291</v>
      </c>
      <c r="C655" s="13" t="s">
        <v>240</v>
      </c>
      <c r="D655" s="13" t="s">
        <v>345</v>
      </c>
      <c r="E655" s="14" t="n">
        <v>580</v>
      </c>
      <c r="F655" s="14" t="n">
        <v>1</v>
      </c>
      <c r="G655" s="14" t="n">
        <v>0.58</v>
      </c>
      <c r="H655" s="14"/>
      <c r="I655" s="14"/>
      <c r="J655" s="14" t="n">
        <v>72.99</v>
      </c>
      <c r="K655" s="14" t="n">
        <v>45.57</v>
      </c>
      <c r="L655" s="14" t="n">
        <v>1.32</v>
      </c>
      <c r="M655" s="14" t="n">
        <v>10</v>
      </c>
      <c r="N655" s="14" t="n">
        <v>5</v>
      </c>
      <c r="O655" s="14"/>
      <c r="P655" s="14" t="n">
        <v>0.38</v>
      </c>
      <c r="Q655" s="14"/>
      <c r="R655" s="14"/>
      <c r="S655" s="14" t="n">
        <v>62.26</v>
      </c>
      <c r="T655" s="14" t="n">
        <v>0</v>
      </c>
      <c r="U655" s="14" t="n">
        <v>10</v>
      </c>
      <c r="V655" s="14" t="n">
        <v>18.68</v>
      </c>
      <c r="W655" s="14" t="n">
        <v>90.95</v>
      </c>
      <c r="X655" s="14" t="n">
        <v>128</v>
      </c>
      <c r="Y655" s="14" t="n">
        <v>37.05</v>
      </c>
      <c r="Z655" s="14" t="n">
        <v>0.21</v>
      </c>
      <c r="AA655" s="14" t="n">
        <v>0</v>
      </c>
      <c r="AB655" s="14" t="n">
        <v>0</v>
      </c>
      <c r="AC655" s="14" t="n">
        <v>0</v>
      </c>
      <c r="AD655" s="15" t="n">
        <f aca="false">H655*E655/1000</f>
        <v>0</v>
      </c>
      <c r="AE655" s="15" t="n">
        <f aca="false">I655*E655/1000</f>
        <v>0</v>
      </c>
      <c r="AF655" s="16" t="n">
        <f aca="false">ROUND(S655+T655+U655+V655-W655,2)</f>
        <v>-0.01</v>
      </c>
      <c r="AG655" s="16" t="n">
        <f aca="false">ROUND(X655-W655-Y655,2)</f>
        <v>0</v>
      </c>
    </row>
    <row r="656" customFormat="false" ht="15" hidden="false" customHeight="false" outlineLevel="0" collapsed="false">
      <c r="A656" s="13" t="s">
        <v>355</v>
      </c>
      <c r="B656" s="13" t="s">
        <v>277</v>
      </c>
      <c r="C656" s="13" t="s">
        <v>226</v>
      </c>
      <c r="D656" s="13" t="s">
        <v>356</v>
      </c>
      <c r="E656" s="14" t="n">
        <v>173</v>
      </c>
      <c r="F656" s="14" t="n">
        <v>1</v>
      </c>
      <c r="G656" s="14" t="n">
        <v>0.17</v>
      </c>
      <c r="H656" s="14"/>
      <c r="I656" s="14"/>
      <c r="J656" s="14" t="n">
        <v>61.76</v>
      </c>
      <c r="K656" s="14" t="n">
        <v>73.23</v>
      </c>
      <c r="L656" s="14" t="n">
        <v>2.72</v>
      </c>
      <c r="M656" s="14" t="n">
        <v>13.09</v>
      </c>
      <c r="N656" s="14" t="n">
        <v>5</v>
      </c>
      <c r="O656" s="14"/>
      <c r="P656" s="14" t="n">
        <v>0.38</v>
      </c>
      <c r="Q656" s="14"/>
      <c r="R656" s="14" t="n">
        <v>10</v>
      </c>
      <c r="S656" s="14" t="n">
        <v>104.42</v>
      </c>
      <c r="T656" s="14" t="n">
        <v>0</v>
      </c>
      <c r="U656" s="14" t="n">
        <v>10.65</v>
      </c>
      <c r="V656" s="14" t="n">
        <v>21.97</v>
      </c>
      <c r="W656" s="14" t="n">
        <v>137.04</v>
      </c>
      <c r="X656" s="14" t="n">
        <v>297.01</v>
      </c>
      <c r="Y656" s="14" t="n">
        <v>159.97</v>
      </c>
      <c r="Z656" s="14" t="n">
        <v>0.28</v>
      </c>
      <c r="AA656" s="14" t="n">
        <v>0</v>
      </c>
      <c r="AB656" s="14" t="n">
        <v>0</v>
      </c>
      <c r="AC656" s="14" t="n">
        <v>0</v>
      </c>
      <c r="AD656" s="15" t="n">
        <f aca="false">H656*E656/1000</f>
        <v>0</v>
      </c>
      <c r="AE656" s="15" t="n">
        <f aca="false">I656*E656/1000</f>
        <v>0</v>
      </c>
      <c r="AF656" s="16" t="n">
        <f aca="false">ROUND(S656+T656+U656+V656-W656,2)</f>
        <v>0</v>
      </c>
      <c r="AG656" s="16" t="n">
        <f aca="false">ROUND(X656-W656-Y656,2)</f>
        <v>0</v>
      </c>
    </row>
    <row r="657" customFormat="false" ht="15" hidden="false" customHeight="false" outlineLevel="0" collapsed="false">
      <c r="A657" s="13" t="s">
        <v>355</v>
      </c>
      <c r="B657" s="13" t="s">
        <v>277</v>
      </c>
      <c r="C657" s="13" t="s">
        <v>259</v>
      </c>
      <c r="D657" s="13" t="s">
        <v>356</v>
      </c>
      <c r="E657" s="14" t="n">
        <v>173</v>
      </c>
      <c r="F657" s="14" t="n">
        <v>1</v>
      </c>
      <c r="G657" s="14" t="n">
        <v>0.17</v>
      </c>
      <c r="H657" s="14"/>
      <c r="I657" s="14"/>
      <c r="J657" s="14" t="n">
        <v>61.76</v>
      </c>
      <c r="K657" s="14" t="n">
        <v>70.37</v>
      </c>
      <c r="L657" s="14" t="n">
        <v>2.72</v>
      </c>
      <c r="M657" s="14" t="n">
        <v>11.65</v>
      </c>
      <c r="N657" s="14" t="n">
        <v>5</v>
      </c>
      <c r="O657" s="14"/>
      <c r="P657" s="14" t="n">
        <v>0.38</v>
      </c>
      <c r="Q657" s="14"/>
      <c r="R657" s="14" t="n">
        <v>10</v>
      </c>
      <c r="S657" s="14" t="n">
        <v>100.12</v>
      </c>
      <c r="T657" s="14" t="n">
        <v>0</v>
      </c>
      <c r="U657" s="14" t="n">
        <v>10.65</v>
      </c>
      <c r="V657" s="14" t="n">
        <v>22.47</v>
      </c>
      <c r="W657" s="14" t="n">
        <v>133.24</v>
      </c>
      <c r="X657" s="14" t="n">
        <v>299.05</v>
      </c>
      <c r="Y657" s="14" t="n">
        <v>165.81</v>
      </c>
      <c r="Z657" s="14" t="n">
        <v>0.29</v>
      </c>
      <c r="AA657" s="14" t="n">
        <v>0</v>
      </c>
      <c r="AB657" s="14" t="n">
        <v>0</v>
      </c>
      <c r="AC657" s="14" t="n">
        <v>0</v>
      </c>
      <c r="AD657" s="15" t="n">
        <f aca="false">H657*E657/1000</f>
        <v>0</v>
      </c>
      <c r="AE657" s="15" t="n">
        <f aca="false">I657*E657/1000</f>
        <v>0</v>
      </c>
      <c r="AF657" s="16" t="n">
        <f aca="false">ROUND(S657+T657+U657+V657-W657,2)</f>
        <v>0</v>
      </c>
      <c r="AG657" s="16" t="n">
        <f aca="false">ROUND(X657-W657-Y657,2)</f>
        <v>0</v>
      </c>
    </row>
    <row r="658" customFormat="false" ht="15" hidden="false" customHeight="false" outlineLevel="0" collapsed="false">
      <c r="A658" s="13" t="s">
        <v>355</v>
      </c>
      <c r="B658" s="13" t="s">
        <v>277</v>
      </c>
      <c r="C658" s="13" t="s">
        <v>259</v>
      </c>
      <c r="D658" s="13" t="s">
        <v>357</v>
      </c>
      <c r="E658" s="14" t="n">
        <v>153</v>
      </c>
      <c r="F658" s="14" t="n">
        <v>1</v>
      </c>
      <c r="G658" s="14" t="n">
        <v>0.15</v>
      </c>
      <c r="H658" s="14"/>
      <c r="I658" s="14"/>
      <c r="J658" s="14" t="n">
        <v>61.76</v>
      </c>
      <c r="K658" s="14" t="n">
        <v>70.37</v>
      </c>
      <c r="L658" s="14" t="n">
        <v>2.72</v>
      </c>
      <c r="M658" s="14" t="n">
        <v>12.97</v>
      </c>
      <c r="N658" s="14" t="n">
        <v>5</v>
      </c>
      <c r="O658" s="14"/>
      <c r="P658" s="14" t="n">
        <v>0.38</v>
      </c>
      <c r="Q658" s="14"/>
      <c r="R658" s="14" t="n">
        <v>10</v>
      </c>
      <c r="S658" s="14" t="n">
        <v>101.44</v>
      </c>
      <c r="T658" s="14" t="n">
        <v>0</v>
      </c>
      <c r="U658" s="14" t="n">
        <v>10.65</v>
      </c>
      <c r="V658" s="14" t="n">
        <v>22.47</v>
      </c>
      <c r="W658" s="14" t="n">
        <v>134.56</v>
      </c>
      <c r="X658" s="14" t="n">
        <v>295.18</v>
      </c>
      <c r="Y658" s="14" t="n">
        <v>160.62</v>
      </c>
      <c r="Z658" s="14" t="n">
        <v>0.25</v>
      </c>
      <c r="AA658" s="14" t="n">
        <v>0</v>
      </c>
      <c r="AB658" s="14" t="n">
        <v>0</v>
      </c>
      <c r="AC658" s="14" t="n">
        <v>0</v>
      </c>
      <c r="AD658" s="15" t="n">
        <f aca="false">H658*E658/1000</f>
        <v>0</v>
      </c>
      <c r="AE658" s="15" t="n">
        <f aca="false">I658*E658/1000</f>
        <v>0</v>
      </c>
      <c r="AF658" s="16" t="n">
        <f aca="false">ROUND(S658+T658+U658+V658-W658,2)</f>
        <v>0</v>
      </c>
      <c r="AG658" s="16" t="n">
        <f aca="false">ROUND(X658-W658-Y658,2)</f>
        <v>0</v>
      </c>
    </row>
    <row r="659" customFormat="false" ht="15" hidden="false" customHeight="false" outlineLevel="0" collapsed="false">
      <c r="A659" s="13" t="s">
        <v>355</v>
      </c>
      <c r="B659" s="13" t="s">
        <v>297</v>
      </c>
      <c r="C659" s="13" t="s">
        <v>226</v>
      </c>
      <c r="D659" s="13" t="s">
        <v>356</v>
      </c>
      <c r="E659" s="14" t="n">
        <v>167</v>
      </c>
      <c r="F659" s="14" t="n">
        <v>1</v>
      </c>
      <c r="G659" s="14" t="n">
        <v>0.17</v>
      </c>
      <c r="H659" s="14"/>
      <c r="I659" s="14"/>
      <c r="J659" s="14" t="n">
        <v>63.46</v>
      </c>
      <c r="K659" s="14" t="n">
        <v>90.11</v>
      </c>
      <c r="L659" s="14" t="n">
        <v>1.51</v>
      </c>
      <c r="M659" s="14" t="n">
        <v>25.53</v>
      </c>
      <c r="N659" s="14" t="n">
        <v>5</v>
      </c>
      <c r="O659" s="14"/>
      <c r="P659" s="14" t="n">
        <v>0.38</v>
      </c>
      <c r="Q659" s="14"/>
      <c r="R659" s="14" t="n">
        <v>10</v>
      </c>
      <c r="S659" s="14" t="n">
        <v>132.54</v>
      </c>
      <c r="T659" s="14" t="n">
        <v>0</v>
      </c>
      <c r="U659" s="14" t="n">
        <v>13</v>
      </c>
      <c r="V659" s="14" t="n">
        <v>23.87</v>
      </c>
      <c r="W659" s="14" t="n">
        <v>169.41</v>
      </c>
      <c r="X659" s="14" t="n">
        <v>309.8</v>
      </c>
      <c r="Y659" s="14" t="n">
        <v>140.39</v>
      </c>
      <c r="Z659" s="14" t="n">
        <v>0.23</v>
      </c>
      <c r="AA659" s="14" t="n">
        <v>0</v>
      </c>
      <c r="AB659" s="14" t="n">
        <v>0</v>
      </c>
      <c r="AC659" s="14" t="n">
        <v>0</v>
      </c>
      <c r="AD659" s="15" t="n">
        <f aca="false">H659*E659/1000</f>
        <v>0</v>
      </c>
      <c r="AE659" s="15" t="n">
        <f aca="false">I659*E659/1000</f>
        <v>0</v>
      </c>
      <c r="AF659" s="16" t="n">
        <f aca="false">ROUND(S659+T659+U659+V659-W659,2)</f>
        <v>0</v>
      </c>
      <c r="AG659" s="16" t="n">
        <f aca="false">ROUND(X659-W659-Y659,2)</f>
        <v>0</v>
      </c>
    </row>
    <row r="660" customFormat="false" ht="15" hidden="false" customHeight="false" outlineLevel="0" collapsed="false">
      <c r="A660" s="13" t="s">
        <v>355</v>
      </c>
      <c r="B660" s="13" t="s">
        <v>297</v>
      </c>
      <c r="C660" s="13" t="s">
        <v>226</v>
      </c>
      <c r="D660" s="13" t="s">
        <v>357</v>
      </c>
      <c r="E660" s="14" t="n">
        <v>146</v>
      </c>
      <c r="F660" s="14" t="n">
        <v>1</v>
      </c>
      <c r="G660" s="14" t="n">
        <v>0.15</v>
      </c>
      <c r="H660" s="14"/>
      <c r="I660" s="14"/>
      <c r="J660" s="14" t="n">
        <v>65.66</v>
      </c>
      <c r="K660" s="14" t="n">
        <v>89.74</v>
      </c>
      <c r="L660" s="14" t="n">
        <v>1.46</v>
      </c>
      <c r="M660" s="14" t="n">
        <v>29.16</v>
      </c>
      <c r="N660" s="14" t="n">
        <v>5</v>
      </c>
      <c r="O660" s="14"/>
      <c r="P660" s="14" t="n">
        <v>0.38</v>
      </c>
      <c r="Q660" s="14"/>
      <c r="R660" s="14" t="n">
        <v>10</v>
      </c>
      <c r="S660" s="14" t="n">
        <v>135.74</v>
      </c>
      <c r="T660" s="14" t="n">
        <v>0</v>
      </c>
      <c r="U660" s="14" t="n">
        <v>13</v>
      </c>
      <c r="V660" s="14" t="n">
        <v>23.5</v>
      </c>
      <c r="W660" s="14" t="n">
        <v>172.24</v>
      </c>
      <c r="X660" s="14" t="n">
        <v>309.33</v>
      </c>
      <c r="Y660" s="14" t="n">
        <v>137.09</v>
      </c>
      <c r="Z660" s="14" t="n">
        <v>0.2</v>
      </c>
      <c r="AA660" s="14" t="n">
        <v>0</v>
      </c>
      <c r="AB660" s="14" t="n">
        <v>0</v>
      </c>
      <c r="AC660" s="14" t="n">
        <v>0</v>
      </c>
      <c r="AD660" s="15" t="n">
        <f aca="false">H660*E660/1000</f>
        <v>0</v>
      </c>
      <c r="AE660" s="15" t="n">
        <f aca="false">I660*E660/1000</f>
        <v>0</v>
      </c>
      <c r="AF660" s="16" t="n">
        <f aca="false">ROUND(S660+T660+U660+V660-W660,2)</f>
        <v>0</v>
      </c>
      <c r="AG660" s="16" t="n">
        <f aca="false">ROUND(X660-W660-Y660,2)</f>
        <v>0</v>
      </c>
    </row>
    <row r="661" customFormat="false" ht="15" hidden="false" customHeight="false" outlineLevel="0" collapsed="false">
      <c r="A661" s="13" t="s">
        <v>358</v>
      </c>
      <c r="B661" s="13" t="s">
        <v>218</v>
      </c>
      <c r="C661" s="13" t="s">
        <v>263</v>
      </c>
      <c r="D661" s="13" t="s">
        <v>359</v>
      </c>
      <c r="E661" s="14" t="n">
        <v>7.85</v>
      </c>
      <c r="F661" s="14" t="n">
        <v>212</v>
      </c>
      <c r="G661" s="14" t="n">
        <v>1.66</v>
      </c>
      <c r="H661" s="14"/>
      <c r="I661" s="14"/>
      <c r="J661" s="14" t="n">
        <v>46.65</v>
      </c>
      <c r="K661" s="14" t="n">
        <v>456.53</v>
      </c>
      <c r="L661" s="14" t="n">
        <v>2.83</v>
      </c>
      <c r="M661" s="14" t="n">
        <v>36.31</v>
      </c>
      <c r="N661" s="14" t="n">
        <v>5</v>
      </c>
      <c r="O661" s="14"/>
      <c r="P661" s="14" t="n">
        <v>0.38</v>
      </c>
      <c r="Q661" s="14"/>
      <c r="R661" s="14"/>
      <c r="S661" s="14" t="n">
        <v>501.04</v>
      </c>
      <c r="T661" s="14" t="n">
        <v>8.92</v>
      </c>
      <c r="U661" s="14" t="n">
        <v>10.74</v>
      </c>
      <c r="V661" s="14" t="n">
        <v>32.34</v>
      </c>
      <c r="W661" s="14" t="n">
        <v>553.03</v>
      </c>
      <c r="X661" s="14" t="n">
        <v>613.5</v>
      </c>
      <c r="Y661" s="14" t="n">
        <v>60.47</v>
      </c>
      <c r="Z661" s="14" t="n">
        <v>1.01</v>
      </c>
      <c r="AA661" s="14" t="n">
        <v>0</v>
      </c>
      <c r="AB661" s="14" t="n">
        <v>0</v>
      </c>
      <c r="AC661" s="14" t="n">
        <v>0</v>
      </c>
      <c r="AD661" s="15" t="n">
        <f aca="false">H661*E661/1000</f>
        <v>0</v>
      </c>
      <c r="AE661" s="15" t="n">
        <f aca="false">I661*E661/1000</f>
        <v>0</v>
      </c>
      <c r="AF661" s="16" t="n">
        <f aca="false">ROUND(S661+T661+U661+V661-W661,2)</f>
        <v>0.01</v>
      </c>
      <c r="AG661" s="16" t="n">
        <f aca="false">ROUND(X661-W661-Y661,2)</f>
        <v>0</v>
      </c>
    </row>
    <row r="662" customFormat="false" ht="15" hidden="false" customHeight="false" outlineLevel="0" collapsed="false">
      <c r="A662" s="13" t="s">
        <v>358</v>
      </c>
      <c r="B662" s="13" t="s">
        <v>218</v>
      </c>
      <c r="C662" s="13" t="s">
        <v>229</v>
      </c>
      <c r="D662" s="13" t="s">
        <v>360</v>
      </c>
      <c r="E662" s="14" t="n">
        <v>123</v>
      </c>
      <c r="F662" s="14" t="n">
        <v>100</v>
      </c>
      <c r="G662" s="14" t="n">
        <v>12.3</v>
      </c>
      <c r="H662" s="14"/>
      <c r="I662" s="14"/>
      <c r="J662" s="14" t="n">
        <v>73.02</v>
      </c>
      <c r="K662" s="14" t="n">
        <v>78.22</v>
      </c>
      <c r="L662" s="14" t="n">
        <v>1.81</v>
      </c>
      <c r="M662" s="14" t="n">
        <v>16</v>
      </c>
      <c r="N662" s="14" t="n">
        <v>5.54</v>
      </c>
      <c r="O662" s="14"/>
      <c r="P662" s="14" t="n">
        <v>0.38</v>
      </c>
      <c r="Q662" s="14"/>
      <c r="R662" s="14"/>
      <c r="S662" s="14" t="n">
        <v>101.95</v>
      </c>
      <c r="T662" s="14" t="n">
        <v>0</v>
      </c>
      <c r="U662" s="14" t="n">
        <v>10.74</v>
      </c>
      <c r="V662" s="14" t="n">
        <v>15.95</v>
      </c>
      <c r="W662" s="14" t="n">
        <v>128.63</v>
      </c>
      <c r="X662" s="14" t="n">
        <v>159.76</v>
      </c>
      <c r="Y662" s="14" t="n">
        <v>31.12</v>
      </c>
      <c r="Z662" s="14" t="n">
        <v>3.83</v>
      </c>
      <c r="AA662" s="14" t="n">
        <v>0</v>
      </c>
      <c r="AB662" s="14" t="n">
        <v>0</v>
      </c>
      <c r="AC662" s="14" t="n">
        <v>0</v>
      </c>
      <c r="AD662" s="15" t="n">
        <f aca="false">H662*E662/1000</f>
        <v>0</v>
      </c>
      <c r="AE662" s="15" t="n">
        <f aca="false">I662*E662/1000</f>
        <v>0</v>
      </c>
      <c r="AF662" s="16" t="n">
        <f aca="false">ROUND(S662+T662+U662+V662-W662,2)</f>
        <v>0.01</v>
      </c>
      <c r="AG662" s="16" t="n">
        <f aca="false">ROUND(X662-W662-Y662,2)</f>
        <v>0.01</v>
      </c>
    </row>
    <row r="663" customFormat="false" ht="15" hidden="false" customHeight="false" outlineLevel="0" collapsed="false">
      <c r="A663" s="13" t="s">
        <v>358</v>
      </c>
      <c r="B663" s="13" t="s">
        <v>218</v>
      </c>
      <c r="C663" s="13" t="s">
        <v>229</v>
      </c>
      <c r="D663" s="13" t="s">
        <v>359</v>
      </c>
      <c r="E663" s="14" t="n">
        <v>7.85</v>
      </c>
      <c r="F663" s="14" t="n">
        <v>28</v>
      </c>
      <c r="G663" s="14" t="n">
        <v>0.22</v>
      </c>
      <c r="H663" s="14"/>
      <c r="I663" s="14"/>
      <c r="J663" s="14" t="n">
        <v>46.65</v>
      </c>
      <c r="K663" s="14" t="n">
        <v>457.38</v>
      </c>
      <c r="L663" s="14" t="n">
        <v>2.83</v>
      </c>
      <c r="M663" s="14" t="n">
        <v>38.12</v>
      </c>
      <c r="N663" s="14" t="n">
        <v>5.54</v>
      </c>
      <c r="O663" s="14"/>
      <c r="P663" s="14" t="n">
        <v>0.38</v>
      </c>
      <c r="Q663" s="14"/>
      <c r="R663" s="14"/>
      <c r="S663" s="14" t="n">
        <v>504.25</v>
      </c>
      <c r="T663" s="14" t="n">
        <v>8.92</v>
      </c>
      <c r="U663" s="14" t="n">
        <v>10.74</v>
      </c>
      <c r="V663" s="14" t="n">
        <v>32.34</v>
      </c>
      <c r="W663" s="14" t="n">
        <v>556.24</v>
      </c>
      <c r="X663" s="14" t="n">
        <v>613.5</v>
      </c>
      <c r="Y663" s="14" t="n">
        <v>57.26</v>
      </c>
      <c r="Z663" s="14" t="n">
        <v>0.13</v>
      </c>
      <c r="AA663" s="14" t="n">
        <v>0</v>
      </c>
      <c r="AB663" s="14" t="n">
        <v>0</v>
      </c>
      <c r="AC663" s="14" t="n">
        <v>0</v>
      </c>
      <c r="AD663" s="15" t="n">
        <f aca="false">H663*E663/1000</f>
        <v>0</v>
      </c>
      <c r="AE663" s="15" t="n">
        <f aca="false">I663*E663/1000</f>
        <v>0</v>
      </c>
      <c r="AF663" s="16" t="n">
        <f aca="false">ROUND(S663+T663+U663+V663-W663,2)</f>
        <v>0.01</v>
      </c>
      <c r="AG663" s="16" t="n">
        <f aca="false">ROUND(X663-W663-Y663,2)</f>
        <v>0</v>
      </c>
    </row>
    <row r="664" customFormat="false" ht="15" hidden="false" customHeight="false" outlineLevel="0" collapsed="false">
      <c r="A664" s="13" t="s">
        <v>358</v>
      </c>
      <c r="B664" s="13" t="s">
        <v>218</v>
      </c>
      <c r="C664" s="13" t="s">
        <v>269</v>
      </c>
      <c r="D664" s="13" t="s">
        <v>360</v>
      </c>
      <c r="E664" s="14" t="n">
        <v>124.05</v>
      </c>
      <c r="F664" s="14" t="n">
        <v>135</v>
      </c>
      <c r="G664" s="14" t="n">
        <v>16.75</v>
      </c>
      <c r="H664" s="14"/>
      <c r="I664" s="14"/>
      <c r="J664" s="14" t="n">
        <v>73.02</v>
      </c>
      <c r="K664" s="14" t="n">
        <v>81.59</v>
      </c>
      <c r="L664" s="14" t="n">
        <v>1.81</v>
      </c>
      <c r="M664" s="14" t="n">
        <v>14.25</v>
      </c>
      <c r="N664" s="14" t="n">
        <v>5</v>
      </c>
      <c r="O664" s="14"/>
      <c r="P664" s="14" t="n">
        <v>0.38</v>
      </c>
      <c r="Q664" s="14"/>
      <c r="R664" s="14"/>
      <c r="S664" s="14" t="n">
        <v>103.03</v>
      </c>
      <c r="T664" s="14" t="n">
        <v>0</v>
      </c>
      <c r="U664" s="14" t="n">
        <v>10.74</v>
      </c>
      <c r="V664" s="14" t="n">
        <v>12.63</v>
      </c>
      <c r="W664" s="14" t="n">
        <v>126.4</v>
      </c>
      <c r="X664" s="14" t="n">
        <v>158.81</v>
      </c>
      <c r="Y664" s="14" t="n">
        <v>32.41</v>
      </c>
      <c r="Z664" s="14" t="n">
        <v>5.43</v>
      </c>
      <c r="AA664" s="14" t="n">
        <v>0</v>
      </c>
      <c r="AB664" s="14" t="n">
        <v>0</v>
      </c>
      <c r="AC664" s="14" t="n">
        <v>0</v>
      </c>
      <c r="AD664" s="15" t="n">
        <f aca="false">H664*E664/1000</f>
        <v>0</v>
      </c>
      <c r="AE664" s="15" t="n">
        <f aca="false">I664*E664/1000</f>
        <v>0</v>
      </c>
      <c r="AF664" s="16" t="n">
        <f aca="false">ROUND(S664+T664+U664+V664-W664,2)</f>
        <v>0</v>
      </c>
      <c r="AG664" s="16" t="n">
        <f aca="false">ROUND(X664-W664-Y664,2)</f>
        <v>0</v>
      </c>
    </row>
    <row r="665" customFormat="false" ht="15" hidden="false" customHeight="false" outlineLevel="0" collapsed="false">
      <c r="A665" s="13" t="s">
        <v>358</v>
      </c>
      <c r="B665" s="13" t="s">
        <v>218</v>
      </c>
      <c r="C665" s="13" t="s">
        <v>235</v>
      </c>
      <c r="D665" s="13" t="s">
        <v>360</v>
      </c>
      <c r="E665" s="14" t="n">
        <v>124.05</v>
      </c>
      <c r="F665" s="14" t="n">
        <v>30</v>
      </c>
      <c r="G665" s="14" t="n">
        <v>3.72</v>
      </c>
      <c r="H665" s="14"/>
      <c r="I665" s="14"/>
      <c r="J665" s="14" t="n">
        <v>73.02</v>
      </c>
      <c r="K665" s="14" t="n">
        <v>87.2</v>
      </c>
      <c r="L665" s="14" t="n">
        <v>1.81</v>
      </c>
      <c r="M665" s="14" t="n">
        <v>16.31</v>
      </c>
      <c r="N665" s="14" t="n">
        <v>5</v>
      </c>
      <c r="O665" s="14"/>
      <c r="P665" s="14" t="n">
        <v>0.38</v>
      </c>
      <c r="Q665" s="14"/>
      <c r="R665" s="14"/>
      <c r="S665" s="14" t="n">
        <v>110.69</v>
      </c>
      <c r="T665" s="14" t="n">
        <v>1.8</v>
      </c>
      <c r="U665" s="14" t="n">
        <v>10.74</v>
      </c>
      <c r="V665" s="14" t="n">
        <v>12.63</v>
      </c>
      <c r="W665" s="14" t="n">
        <v>135.86</v>
      </c>
      <c r="X665" s="14" t="n">
        <v>158.81</v>
      </c>
      <c r="Y665" s="14" t="n">
        <v>22.95</v>
      </c>
      <c r="Z665" s="14" t="n">
        <v>0.85</v>
      </c>
      <c r="AA665" s="14" t="n">
        <v>0</v>
      </c>
      <c r="AB665" s="14" t="n">
        <v>0</v>
      </c>
      <c r="AC665" s="14" t="n">
        <v>0</v>
      </c>
      <c r="AD665" s="15" t="n">
        <f aca="false">H665*E665/1000</f>
        <v>0</v>
      </c>
      <c r="AE665" s="15" t="n">
        <f aca="false">I665*E665/1000</f>
        <v>0</v>
      </c>
      <c r="AF665" s="16" t="n">
        <f aca="false">ROUND(S665+T665+U665+V665-W665,2)</f>
        <v>0</v>
      </c>
      <c r="AG665" s="16" t="n">
        <f aca="false">ROUND(X665-W665-Y665,2)</f>
        <v>0</v>
      </c>
    </row>
    <row r="666" customFormat="false" ht="15" hidden="false" customHeight="false" outlineLevel="0" collapsed="false">
      <c r="A666" s="13" t="s">
        <v>358</v>
      </c>
      <c r="B666" s="13" t="s">
        <v>218</v>
      </c>
      <c r="C666" s="13" t="s">
        <v>240</v>
      </c>
      <c r="D666" s="13" t="s">
        <v>360</v>
      </c>
      <c r="E666" s="14" t="n">
        <v>124.05</v>
      </c>
      <c r="F666" s="14" t="n">
        <v>141</v>
      </c>
      <c r="G666" s="14" t="n">
        <v>17.49</v>
      </c>
      <c r="H666" s="14" t="n">
        <v>6</v>
      </c>
      <c r="I666" s="14"/>
      <c r="J666" s="14" t="n">
        <v>73.02</v>
      </c>
      <c r="K666" s="14" t="n">
        <v>75.64</v>
      </c>
      <c r="L666" s="14" t="n">
        <v>1.81</v>
      </c>
      <c r="M666" s="14" t="n">
        <v>16.31</v>
      </c>
      <c r="N666" s="14" t="n">
        <v>5</v>
      </c>
      <c r="O666" s="14"/>
      <c r="P666" s="14" t="n">
        <v>0.38</v>
      </c>
      <c r="Q666" s="14"/>
      <c r="R666" s="14"/>
      <c r="S666" s="14" t="n">
        <v>99.14</v>
      </c>
      <c r="T666" s="14" t="n">
        <v>1.8</v>
      </c>
      <c r="U666" s="14" t="n">
        <v>10.74</v>
      </c>
      <c r="V666" s="14" t="n">
        <v>12.63</v>
      </c>
      <c r="W666" s="14" t="n">
        <v>124.3</v>
      </c>
      <c r="X666" s="14" t="n">
        <v>158.81</v>
      </c>
      <c r="Y666" s="14" t="n">
        <v>34.5</v>
      </c>
      <c r="Z666" s="14" t="n">
        <v>5.43</v>
      </c>
      <c r="AA666" s="14" t="n">
        <v>0.35</v>
      </c>
      <c r="AB666" s="14" t="n">
        <v>0</v>
      </c>
      <c r="AC666" s="14" t="n">
        <v>0.26</v>
      </c>
      <c r="AD666" s="15" t="n">
        <f aca="false">H666*E666/1000</f>
        <v>0.7443</v>
      </c>
      <c r="AE666" s="15" t="n">
        <f aca="false">I666*E666/1000</f>
        <v>0</v>
      </c>
      <c r="AF666" s="16" t="n">
        <f aca="false">ROUND(S666+T666+U666+V666-W666,2)</f>
        <v>0.01</v>
      </c>
      <c r="AG666" s="16" t="n">
        <f aca="false">ROUND(X666-W666-Y666,2)</f>
        <v>0.01</v>
      </c>
    </row>
    <row r="667" customFormat="false" ht="15" hidden="false" customHeight="false" outlineLevel="0" collapsed="false">
      <c r="A667" s="13" t="s">
        <v>358</v>
      </c>
      <c r="B667" s="13" t="s">
        <v>218</v>
      </c>
      <c r="C667" s="13" t="s">
        <v>240</v>
      </c>
      <c r="D667" s="13" t="s">
        <v>359</v>
      </c>
      <c r="E667" s="14" t="n">
        <v>7.85</v>
      </c>
      <c r="F667" s="14" t="n">
        <v>176</v>
      </c>
      <c r="G667" s="14" t="n">
        <v>1.38</v>
      </c>
      <c r="H667" s="14"/>
      <c r="I667" s="14"/>
      <c r="J667" s="14" t="n">
        <v>46.65</v>
      </c>
      <c r="K667" s="14" t="n">
        <v>502.87</v>
      </c>
      <c r="L667" s="14" t="n">
        <v>2.83</v>
      </c>
      <c r="M667" s="14" t="n">
        <v>39.26</v>
      </c>
      <c r="N667" s="14" t="n">
        <v>5</v>
      </c>
      <c r="O667" s="14"/>
      <c r="P667" s="14" t="n">
        <v>0.38</v>
      </c>
      <c r="Q667" s="14"/>
      <c r="R667" s="14"/>
      <c r="S667" s="14" t="n">
        <v>550.34</v>
      </c>
      <c r="T667" s="14" t="n">
        <v>8.92</v>
      </c>
      <c r="U667" s="14" t="n">
        <v>10.74</v>
      </c>
      <c r="V667" s="14" t="n">
        <v>29.81</v>
      </c>
      <c r="W667" s="14" t="n">
        <v>599.81</v>
      </c>
      <c r="X667" s="14" t="n">
        <v>657.83</v>
      </c>
      <c r="Y667" s="14" t="n">
        <v>58.03</v>
      </c>
      <c r="Z667" s="14" t="n">
        <v>0.8</v>
      </c>
      <c r="AA667" s="14" t="n">
        <v>0</v>
      </c>
      <c r="AB667" s="14" t="n">
        <v>0</v>
      </c>
      <c r="AC667" s="14" t="n">
        <v>0</v>
      </c>
      <c r="AD667" s="15" t="n">
        <f aca="false">H667*E667/1000</f>
        <v>0</v>
      </c>
      <c r="AE667" s="15" t="n">
        <f aca="false">I667*E667/1000</f>
        <v>0</v>
      </c>
      <c r="AF667" s="16" t="n">
        <f aca="false">ROUND(S667+T667+U667+V667-W667,2)</f>
        <v>0</v>
      </c>
      <c r="AG667" s="16" t="n">
        <f aca="false">ROUND(X667-W667-Y667,2)</f>
        <v>-0.01</v>
      </c>
    </row>
    <row r="668" customFormat="false" ht="15" hidden="false" customHeight="false" outlineLevel="0" collapsed="false">
      <c r="A668" s="13" t="s">
        <v>358</v>
      </c>
      <c r="B668" s="13" t="s">
        <v>218</v>
      </c>
      <c r="C668" s="13" t="s">
        <v>241</v>
      </c>
      <c r="D668" s="13" t="s">
        <v>359</v>
      </c>
      <c r="E668" s="14" t="n">
        <v>7.85</v>
      </c>
      <c r="F668" s="14" t="n">
        <v>200</v>
      </c>
      <c r="G668" s="14" t="n">
        <v>1.57</v>
      </c>
      <c r="H668" s="14" t="n">
        <v>2</v>
      </c>
      <c r="I668" s="14"/>
      <c r="J668" s="14" t="n">
        <v>46.65</v>
      </c>
      <c r="K668" s="14" t="n">
        <v>494.89</v>
      </c>
      <c r="L668" s="14" t="n">
        <v>2.83</v>
      </c>
      <c r="M668" s="14" t="n">
        <v>39.26</v>
      </c>
      <c r="N668" s="14" t="n">
        <v>5</v>
      </c>
      <c r="O668" s="14"/>
      <c r="P668" s="14" t="n">
        <v>0.38</v>
      </c>
      <c r="Q668" s="14"/>
      <c r="R668" s="14"/>
      <c r="S668" s="14" t="n">
        <v>542.36</v>
      </c>
      <c r="T668" s="14" t="n">
        <v>11.42</v>
      </c>
      <c r="U668" s="14" t="n">
        <v>10.74</v>
      </c>
      <c r="V668" s="14" t="n">
        <v>28.89</v>
      </c>
      <c r="W668" s="14" t="n">
        <v>593.41</v>
      </c>
      <c r="X668" s="14" t="n">
        <v>657.83</v>
      </c>
      <c r="Y668" s="14" t="n">
        <v>64.43</v>
      </c>
      <c r="Z668" s="14" t="n">
        <v>0.98</v>
      </c>
      <c r="AA668" s="14" t="n">
        <v>0.03</v>
      </c>
      <c r="AB668" s="14" t="n">
        <v>0</v>
      </c>
      <c r="AC668" s="14" t="n">
        <v>0.01</v>
      </c>
      <c r="AD668" s="15" t="n">
        <f aca="false">H668*E668/1000</f>
        <v>0.0157</v>
      </c>
      <c r="AE668" s="15" t="n">
        <f aca="false">I668*E668/1000</f>
        <v>0</v>
      </c>
      <c r="AF668" s="16" t="n">
        <f aca="false">ROUND(S668+T668+U668+V668-W668,2)</f>
        <v>0</v>
      </c>
      <c r="AG668" s="16" t="n">
        <f aca="false">ROUND(X668-W668-Y668,2)</f>
        <v>-0.01</v>
      </c>
    </row>
    <row r="669" customFormat="false" ht="15" hidden="false" customHeight="false" outlineLevel="0" collapsed="false">
      <c r="A669" s="13" t="s">
        <v>358</v>
      </c>
      <c r="B669" s="13" t="s">
        <v>218</v>
      </c>
      <c r="C669" s="13" t="s">
        <v>241</v>
      </c>
      <c r="D669" s="13" t="s">
        <v>361</v>
      </c>
      <c r="E669" s="14" t="n">
        <v>5.5</v>
      </c>
      <c r="F669" s="14" t="n">
        <v>32</v>
      </c>
      <c r="G669" s="14" t="n">
        <v>0.176</v>
      </c>
      <c r="H669" s="14" t="n">
        <v>8</v>
      </c>
      <c r="I669" s="14"/>
      <c r="J669" s="14" t="n">
        <v>51.96</v>
      </c>
      <c r="K669" s="14" t="n">
        <v>70.62</v>
      </c>
      <c r="L669" s="14" t="n">
        <v>2.54</v>
      </c>
      <c r="M669" s="14" t="n">
        <v>39</v>
      </c>
      <c r="N669" s="14" t="n">
        <v>5</v>
      </c>
      <c r="O669" s="14"/>
      <c r="P669" s="14" t="n">
        <v>0.38</v>
      </c>
      <c r="Q669" s="14" t="n">
        <v>0.6</v>
      </c>
      <c r="R669" s="14" t="n">
        <v>1</v>
      </c>
      <c r="S669" s="14" t="n">
        <v>119.14</v>
      </c>
      <c r="T669" s="14" t="n">
        <v>2.5</v>
      </c>
      <c r="U669" s="14" t="n">
        <v>10.74</v>
      </c>
      <c r="V669" s="14" t="n">
        <v>20.09</v>
      </c>
      <c r="W669" s="14" t="n">
        <v>152.46</v>
      </c>
      <c r="X669" s="14" t="n">
        <v>229.09</v>
      </c>
      <c r="Y669" s="14" t="n">
        <v>76.63</v>
      </c>
      <c r="Z669" s="14" t="n">
        <v>0.07</v>
      </c>
      <c r="AA669" s="14" t="n">
        <v>0.03</v>
      </c>
      <c r="AB669" s="14" t="n">
        <v>0</v>
      </c>
      <c r="AC669" s="14" t="n">
        <v>0.03</v>
      </c>
      <c r="AD669" s="15" t="n">
        <f aca="false">H669*E669/1000</f>
        <v>0.044</v>
      </c>
      <c r="AE669" s="15" t="n">
        <f aca="false">I669*E669/1000</f>
        <v>0</v>
      </c>
      <c r="AF669" s="16" t="n">
        <f aca="false">ROUND(S669+T669+U669+V669-W669,2)</f>
        <v>0.01</v>
      </c>
      <c r="AG669" s="16" t="n">
        <f aca="false">ROUND(X669-W669-Y669,2)</f>
        <v>0</v>
      </c>
    </row>
    <row r="670" customFormat="false" ht="15" hidden="false" customHeight="false" outlineLevel="0" collapsed="false">
      <c r="A670" s="13" t="s">
        <v>358</v>
      </c>
      <c r="B670" s="13" t="s">
        <v>218</v>
      </c>
      <c r="C670" s="13" t="s">
        <v>246</v>
      </c>
      <c r="D670" s="13" t="s">
        <v>359</v>
      </c>
      <c r="E670" s="14" t="n">
        <v>7.85</v>
      </c>
      <c r="F670" s="14" t="n">
        <v>124</v>
      </c>
      <c r="G670" s="14" t="n">
        <v>0.97</v>
      </c>
      <c r="H670" s="14"/>
      <c r="I670" s="14"/>
      <c r="J670" s="14" t="n">
        <v>46.65</v>
      </c>
      <c r="K670" s="14" t="n">
        <v>520.47</v>
      </c>
      <c r="L670" s="14" t="n">
        <v>2.83</v>
      </c>
      <c r="M670" s="14" t="n">
        <v>39.26</v>
      </c>
      <c r="N670" s="14" t="n">
        <v>5</v>
      </c>
      <c r="O670" s="14"/>
      <c r="P670" s="14" t="n">
        <v>0.38</v>
      </c>
      <c r="Q670" s="14"/>
      <c r="R670" s="14"/>
      <c r="S670" s="14" t="n">
        <v>567.94</v>
      </c>
      <c r="T670" s="14" t="n">
        <v>11.42</v>
      </c>
      <c r="U670" s="14" t="n">
        <v>7.74</v>
      </c>
      <c r="V670" s="14" t="n">
        <v>28.89</v>
      </c>
      <c r="W670" s="14" t="n">
        <v>615.98</v>
      </c>
      <c r="X670" s="14" t="n">
        <v>657.83</v>
      </c>
      <c r="Y670" s="14" t="n">
        <v>41.85</v>
      </c>
      <c r="Z670" s="14" t="n">
        <v>0.41</v>
      </c>
      <c r="AA670" s="14" t="n">
        <v>0</v>
      </c>
      <c r="AB670" s="14" t="n">
        <v>0</v>
      </c>
      <c r="AC670" s="14" t="n">
        <v>0</v>
      </c>
      <c r="AD670" s="15" t="n">
        <f aca="false">H670*E670/1000</f>
        <v>0</v>
      </c>
      <c r="AE670" s="15" t="n">
        <f aca="false">I670*E670/1000</f>
        <v>0</v>
      </c>
      <c r="AF670" s="16" t="n">
        <f aca="false">ROUND(S670+T670+U670+V670-W670,2)</f>
        <v>0.01</v>
      </c>
      <c r="AG670" s="16" t="n">
        <f aca="false">ROUND(X670-W670-Y670,2)</f>
        <v>0</v>
      </c>
    </row>
    <row r="671" customFormat="false" ht="15" hidden="false" customHeight="false" outlineLevel="0" collapsed="false">
      <c r="A671" s="13" t="s">
        <v>358</v>
      </c>
      <c r="B671" s="13" t="s">
        <v>256</v>
      </c>
      <c r="C671" s="13" t="s">
        <v>219</v>
      </c>
      <c r="D671" s="13" t="s">
        <v>359</v>
      </c>
      <c r="E671" s="14" t="n">
        <v>7.85</v>
      </c>
      <c r="F671" s="14" t="n">
        <v>2</v>
      </c>
      <c r="G671" s="14" t="n">
        <v>0.02</v>
      </c>
      <c r="H671" s="14"/>
      <c r="I671" s="14"/>
      <c r="J671" s="14" t="n">
        <v>46.65</v>
      </c>
      <c r="K671" s="14" t="n">
        <v>483.09</v>
      </c>
      <c r="L671" s="14" t="n">
        <v>2.83</v>
      </c>
      <c r="M671" s="14" t="n">
        <v>39.26</v>
      </c>
      <c r="N671" s="14" t="n">
        <v>5</v>
      </c>
      <c r="O671" s="14"/>
      <c r="P671" s="14" t="n">
        <v>0.38</v>
      </c>
      <c r="Q671" s="14"/>
      <c r="R671" s="14"/>
      <c r="S671" s="14" t="n">
        <v>530.56</v>
      </c>
      <c r="T671" s="14" t="n">
        <v>11.42</v>
      </c>
      <c r="U671" s="14" t="n">
        <v>7.74</v>
      </c>
      <c r="V671" s="14" t="n">
        <v>28.89</v>
      </c>
      <c r="W671" s="14" t="n">
        <v>578.61</v>
      </c>
      <c r="X671" s="14" t="n">
        <v>657.83</v>
      </c>
      <c r="Y671" s="14" t="n">
        <v>79.22</v>
      </c>
      <c r="Z671" s="14" t="n">
        <v>0.01</v>
      </c>
      <c r="AA671" s="14" t="n">
        <v>0</v>
      </c>
      <c r="AB671" s="14" t="n">
        <v>0</v>
      </c>
      <c r="AC671" s="14" t="n">
        <v>0</v>
      </c>
      <c r="AD671" s="15" t="n">
        <f aca="false">H671*E671/1000</f>
        <v>0</v>
      </c>
      <c r="AE671" s="15" t="n">
        <f aca="false">I671*E671/1000</f>
        <v>0</v>
      </c>
      <c r="AF671" s="16" t="n">
        <f aca="false">ROUND(S671+T671+U671+V671-W671,2)</f>
        <v>0</v>
      </c>
      <c r="AG671" s="16" t="n">
        <f aca="false">ROUND(X671-W671-Y671,2)</f>
        <v>0</v>
      </c>
    </row>
    <row r="672" customFormat="false" ht="15" hidden="false" customHeight="false" outlineLevel="0" collapsed="false">
      <c r="A672" s="13" t="s">
        <v>358</v>
      </c>
      <c r="B672" s="13" t="s">
        <v>256</v>
      </c>
      <c r="C672" s="13" t="s">
        <v>219</v>
      </c>
      <c r="D672" s="13" t="s">
        <v>362</v>
      </c>
      <c r="E672" s="14" t="n">
        <v>11.5</v>
      </c>
      <c r="F672" s="14" t="n">
        <v>100</v>
      </c>
      <c r="G672" s="14" t="n">
        <v>1.15</v>
      </c>
      <c r="H672" s="14"/>
      <c r="I672" s="14"/>
      <c r="J672" s="14" t="n">
        <v>49.02</v>
      </c>
      <c r="K672" s="14" t="n">
        <v>479.31</v>
      </c>
      <c r="L672" s="14" t="n">
        <v>2.69</v>
      </c>
      <c r="M672" s="14" t="n">
        <v>29.86</v>
      </c>
      <c r="N672" s="14" t="n">
        <v>5</v>
      </c>
      <c r="O672" s="14"/>
      <c r="P672" s="14" t="n">
        <v>0.38</v>
      </c>
      <c r="Q672" s="14"/>
      <c r="R672" s="14"/>
      <c r="S672" s="14" t="n">
        <v>517.24</v>
      </c>
      <c r="T672" s="14" t="n">
        <v>6.09</v>
      </c>
      <c r="U672" s="14" t="n">
        <v>7.74</v>
      </c>
      <c r="V672" s="14" t="n">
        <v>27.6</v>
      </c>
      <c r="W672" s="14" t="n">
        <v>558.66</v>
      </c>
      <c r="X672" s="14" t="n">
        <v>665.22</v>
      </c>
      <c r="Y672" s="14" t="n">
        <v>106.55</v>
      </c>
      <c r="Z672" s="14" t="n">
        <v>1.23</v>
      </c>
      <c r="AA672" s="14" t="n">
        <v>0</v>
      </c>
      <c r="AB672" s="14" t="n">
        <v>0</v>
      </c>
      <c r="AC672" s="14" t="n">
        <v>0</v>
      </c>
      <c r="AD672" s="15" t="n">
        <f aca="false">H672*E672/1000</f>
        <v>0</v>
      </c>
      <c r="AE672" s="15" t="n">
        <f aca="false">I672*E672/1000</f>
        <v>0</v>
      </c>
      <c r="AF672" s="16" t="n">
        <f aca="false">ROUND(S672+T672+U672+V672-W672,2)</f>
        <v>0.01</v>
      </c>
      <c r="AG672" s="16" t="n">
        <f aca="false">ROUND(X672-W672-Y672,2)</f>
        <v>0.01</v>
      </c>
    </row>
    <row r="673" customFormat="false" ht="15" hidden="false" customHeight="false" outlineLevel="0" collapsed="false">
      <c r="A673" s="13" t="s">
        <v>358</v>
      </c>
      <c r="B673" s="13" t="s">
        <v>256</v>
      </c>
      <c r="C673" s="13" t="s">
        <v>259</v>
      </c>
      <c r="D673" s="13" t="s">
        <v>362</v>
      </c>
      <c r="E673" s="14" t="n">
        <v>11.5</v>
      </c>
      <c r="F673" s="14" t="n">
        <v>60</v>
      </c>
      <c r="G673" s="14" t="n">
        <v>0.69</v>
      </c>
      <c r="H673" s="14" t="n">
        <v>2</v>
      </c>
      <c r="I673" s="14"/>
      <c r="J673" s="14" t="n">
        <v>49.02</v>
      </c>
      <c r="K673" s="14" t="n">
        <v>477.5</v>
      </c>
      <c r="L673" s="14" t="n">
        <v>2.69</v>
      </c>
      <c r="M673" s="14" t="n">
        <v>35.66</v>
      </c>
      <c r="N673" s="14" t="n">
        <v>5</v>
      </c>
      <c r="O673" s="14"/>
      <c r="P673" s="14" t="n">
        <v>0.38</v>
      </c>
      <c r="Q673" s="14"/>
      <c r="R673" s="14"/>
      <c r="S673" s="14" t="n">
        <v>521.24</v>
      </c>
      <c r="T673" s="14" t="n">
        <v>6.09</v>
      </c>
      <c r="U673" s="14" t="n">
        <v>8.65</v>
      </c>
      <c r="V673" s="14" t="n">
        <v>29.19</v>
      </c>
      <c r="W673" s="14" t="n">
        <v>565.16</v>
      </c>
      <c r="X673" s="14" t="n">
        <v>679.13</v>
      </c>
      <c r="Y673" s="14" t="n">
        <v>113.97</v>
      </c>
      <c r="Z673" s="14" t="n">
        <v>0.73</v>
      </c>
      <c r="AA673" s="14" t="n">
        <v>0.03</v>
      </c>
      <c r="AB673" s="14" t="n">
        <v>0</v>
      </c>
      <c r="AC673" s="14" t="n">
        <v>0.03</v>
      </c>
      <c r="AD673" s="15" t="n">
        <f aca="false">H673*E673/1000</f>
        <v>0.023</v>
      </c>
      <c r="AE673" s="15" t="n">
        <f aca="false">I673*E673/1000</f>
        <v>0</v>
      </c>
      <c r="AF673" s="16" t="n">
        <f aca="false">ROUND(S673+T673+U673+V673-W673,2)</f>
        <v>0.01</v>
      </c>
      <c r="AG673" s="16" t="n">
        <f aca="false">ROUND(X673-W673-Y673,2)</f>
        <v>0</v>
      </c>
    </row>
    <row r="674" customFormat="false" ht="15" hidden="false" customHeight="false" outlineLevel="0" collapsed="false">
      <c r="A674" s="13" t="s">
        <v>358</v>
      </c>
      <c r="B674" s="13" t="s">
        <v>256</v>
      </c>
      <c r="C674" s="13" t="s">
        <v>263</v>
      </c>
      <c r="D674" s="13" t="s">
        <v>362</v>
      </c>
      <c r="E674" s="14" t="n">
        <v>11.5</v>
      </c>
      <c r="F674" s="14" t="n">
        <v>22</v>
      </c>
      <c r="G674" s="14" t="n">
        <v>0.25</v>
      </c>
      <c r="H674" s="14"/>
      <c r="I674" s="14"/>
      <c r="J674" s="14" t="n">
        <v>49.02</v>
      </c>
      <c r="K674" s="14" t="n">
        <v>524.06</v>
      </c>
      <c r="L674" s="14" t="n">
        <v>2.69</v>
      </c>
      <c r="M674" s="14" t="n">
        <v>31.29</v>
      </c>
      <c r="N674" s="14" t="n">
        <v>5</v>
      </c>
      <c r="O674" s="14"/>
      <c r="P674" s="14" t="n">
        <v>0.38</v>
      </c>
      <c r="Q674" s="14"/>
      <c r="R674" s="14"/>
      <c r="S674" s="14" t="n">
        <v>563.43</v>
      </c>
      <c r="T674" s="14" t="n">
        <v>6.09</v>
      </c>
      <c r="U674" s="14" t="n">
        <v>8.65</v>
      </c>
      <c r="V674" s="14" t="n">
        <v>29.19</v>
      </c>
      <c r="W674" s="14" t="n">
        <v>607.35</v>
      </c>
      <c r="X674" s="14" t="n">
        <v>679.13</v>
      </c>
      <c r="Y674" s="14" t="n">
        <v>71.78</v>
      </c>
      <c r="Z674" s="14" t="n">
        <v>0.18</v>
      </c>
      <c r="AA674" s="14" t="n">
        <v>0</v>
      </c>
      <c r="AB674" s="14" t="n">
        <v>0</v>
      </c>
      <c r="AC674" s="14" t="n">
        <v>0</v>
      </c>
      <c r="AD674" s="15" t="n">
        <f aca="false">H674*E674/1000</f>
        <v>0</v>
      </c>
      <c r="AE674" s="15" t="n">
        <f aca="false">I674*E674/1000</f>
        <v>0</v>
      </c>
      <c r="AF674" s="16" t="n">
        <f aca="false">ROUND(S674+T674+U674+V674-W674,2)</f>
        <v>0.01</v>
      </c>
      <c r="AG674" s="16" t="n">
        <f aca="false">ROUND(X674-W674-Y674,2)</f>
        <v>0</v>
      </c>
    </row>
    <row r="675" customFormat="false" ht="15" hidden="false" customHeight="false" outlineLevel="0" collapsed="false">
      <c r="A675" s="13" t="s">
        <v>358</v>
      </c>
      <c r="B675" s="13" t="s">
        <v>256</v>
      </c>
      <c r="C675" s="13" t="s">
        <v>229</v>
      </c>
      <c r="D675" s="13" t="s">
        <v>362</v>
      </c>
      <c r="E675" s="14" t="n">
        <v>11.5</v>
      </c>
      <c r="F675" s="14" t="n">
        <v>22</v>
      </c>
      <c r="G675" s="14" t="n">
        <v>0.25</v>
      </c>
      <c r="H675" s="14"/>
      <c r="I675" s="14"/>
      <c r="J675" s="14" t="n">
        <v>49.02</v>
      </c>
      <c r="K675" s="14" t="n">
        <v>502.14</v>
      </c>
      <c r="L675" s="14" t="n">
        <v>3.43</v>
      </c>
      <c r="M675" s="14" t="n">
        <v>33.02</v>
      </c>
      <c r="N675" s="14" t="n">
        <v>5</v>
      </c>
      <c r="O675" s="14"/>
      <c r="P675" s="14" t="n">
        <v>0.38</v>
      </c>
      <c r="Q675" s="14"/>
      <c r="R675" s="14"/>
      <c r="S675" s="14" t="n">
        <v>543.97</v>
      </c>
      <c r="T675" s="14" t="n">
        <v>6.09</v>
      </c>
      <c r="U675" s="14" t="n">
        <v>8.65</v>
      </c>
      <c r="V675" s="14" t="n">
        <v>29.19</v>
      </c>
      <c r="W675" s="14" t="n">
        <v>587.9</v>
      </c>
      <c r="X675" s="14" t="n">
        <v>679.13</v>
      </c>
      <c r="Y675" s="14" t="n">
        <v>91.23</v>
      </c>
      <c r="Z675" s="14" t="n">
        <v>0.23</v>
      </c>
      <c r="AA675" s="14" t="n">
        <v>0</v>
      </c>
      <c r="AB675" s="14" t="n">
        <v>0</v>
      </c>
      <c r="AC675" s="14" t="n">
        <v>0</v>
      </c>
      <c r="AD675" s="15" t="n">
        <f aca="false">H675*E675/1000</f>
        <v>0</v>
      </c>
      <c r="AE675" s="15" t="n">
        <f aca="false">I675*E675/1000</f>
        <v>0</v>
      </c>
      <c r="AF675" s="16" t="n">
        <f aca="false">ROUND(S675+T675+U675+V675-W675,2)</f>
        <v>0</v>
      </c>
      <c r="AG675" s="16" t="n">
        <f aca="false">ROUND(X675-W675-Y675,2)</f>
        <v>0</v>
      </c>
    </row>
    <row r="676" customFormat="false" ht="15" hidden="false" customHeight="false" outlineLevel="0" collapsed="false">
      <c r="A676" s="13" t="s">
        <v>358</v>
      </c>
      <c r="B676" s="13" t="s">
        <v>256</v>
      </c>
      <c r="C676" s="13" t="s">
        <v>234</v>
      </c>
      <c r="D676" s="13" t="s">
        <v>361</v>
      </c>
      <c r="E676" s="14" t="n">
        <v>5.5</v>
      </c>
      <c r="F676" s="14" t="n">
        <v>184</v>
      </c>
      <c r="G676" s="14" t="n">
        <v>1.012</v>
      </c>
      <c r="H676" s="14"/>
      <c r="I676" s="14"/>
      <c r="J676" s="14" t="n">
        <v>51.96</v>
      </c>
      <c r="K676" s="14" t="n">
        <v>79.58</v>
      </c>
      <c r="L676" s="14" t="n">
        <v>3.24</v>
      </c>
      <c r="M676" s="14" t="n">
        <v>49.85</v>
      </c>
      <c r="N676" s="14" t="n">
        <v>7.83</v>
      </c>
      <c r="O676" s="14"/>
      <c r="P676" s="14" t="n">
        <v>0.38</v>
      </c>
      <c r="Q676" s="14" t="n">
        <v>0.6</v>
      </c>
      <c r="R676" s="14" t="n">
        <v>1</v>
      </c>
      <c r="S676" s="14" t="n">
        <v>142.47</v>
      </c>
      <c r="T676" s="14" t="n">
        <v>2.5</v>
      </c>
      <c r="U676" s="14" t="n">
        <v>10.86</v>
      </c>
      <c r="V676" s="14" t="n">
        <v>23.48</v>
      </c>
      <c r="W676" s="14" t="n">
        <v>179.31</v>
      </c>
      <c r="X676" s="14" t="n">
        <v>245.45</v>
      </c>
      <c r="Y676" s="14" t="n">
        <v>66.14</v>
      </c>
      <c r="Z676" s="14" t="n">
        <v>0.67</v>
      </c>
      <c r="AA676" s="14" t="n">
        <v>0</v>
      </c>
      <c r="AB676" s="14" t="n">
        <v>0</v>
      </c>
      <c r="AC676" s="14" t="n">
        <v>0</v>
      </c>
      <c r="AD676" s="15" t="n">
        <f aca="false">H676*E676/1000</f>
        <v>0</v>
      </c>
      <c r="AE676" s="15" t="n">
        <f aca="false">I676*E676/1000</f>
        <v>0</v>
      </c>
      <c r="AF676" s="16" t="n">
        <f aca="false">ROUND(S676+T676+U676+V676-W676,2)</f>
        <v>0</v>
      </c>
      <c r="AG676" s="16" t="n">
        <f aca="false">ROUND(X676-W676-Y676,2)</f>
        <v>0</v>
      </c>
    </row>
    <row r="677" customFormat="false" ht="15" hidden="false" customHeight="false" outlineLevel="0" collapsed="false">
      <c r="A677" s="13" t="s">
        <v>358</v>
      </c>
      <c r="B677" s="13" t="s">
        <v>256</v>
      </c>
      <c r="C677" s="13" t="s">
        <v>268</v>
      </c>
      <c r="D677" s="13" t="s">
        <v>361</v>
      </c>
      <c r="E677" s="14" t="n">
        <v>5.5</v>
      </c>
      <c r="F677" s="14" t="n">
        <v>272</v>
      </c>
      <c r="G677" s="14" t="n">
        <v>1.496</v>
      </c>
      <c r="H677" s="14"/>
      <c r="I677" s="14"/>
      <c r="J677" s="14" t="n">
        <v>51.96</v>
      </c>
      <c r="K677" s="14" t="n">
        <v>79.58</v>
      </c>
      <c r="L677" s="14" t="n">
        <v>4.77</v>
      </c>
      <c r="M677" s="14" t="n">
        <v>49.85</v>
      </c>
      <c r="N677" s="14" t="n">
        <v>4.76</v>
      </c>
      <c r="O677" s="14"/>
      <c r="P677" s="14" t="n">
        <v>0.38</v>
      </c>
      <c r="Q677" s="14" t="n">
        <v>0.6</v>
      </c>
      <c r="R677" s="14" t="n">
        <v>1</v>
      </c>
      <c r="S677" s="14" t="n">
        <v>140.93</v>
      </c>
      <c r="T677" s="14" t="n">
        <v>2.5</v>
      </c>
      <c r="U677" s="14" t="n">
        <v>10.86</v>
      </c>
      <c r="V677" s="14" t="n">
        <v>23.81</v>
      </c>
      <c r="W677" s="14" t="n">
        <v>178.11</v>
      </c>
      <c r="X677" s="14" t="n">
        <v>245.45</v>
      </c>
      <c r="Y677" s="14" t="n">
        <v>67.35</v>
      </c>
      <c r="Z677" s="14" t="n">
        <v>1.01</v>
      </c>
      <c r="AA677" s="14" t="n">
        <v>0</v>
      </c>
      <c r="AB677" s="14" t="n">
        <v>0</v>
      </c>
      <c r="AC677" s="14" t="n">
        <v>0</v>
      </c>
      <c r="AD677" s="15" t="n">
        <f aca="false">H677*E677/1000</f>
        <v>0</v>
      </c>
      <c r="AE677" s="15" t="n">
        <f aca="false">I677*E677/1000</f>
        <v>0</v>
      </c>
      <c r="AF677" s="16" t="n">
        <f aca="false">ROUND(S677+T677+U677+V677-W677,2)</f>
        <v>-0.01</v>
      </c>
      <c r="AG677" s="16" t="n">
        <f aca="false">ROUND(X677-W677-Y677,2)</f>
        <v>-0.01</v>
      </c>
    </row>
    <row r="678" customFormat="false" ht="15" hidden="false" customHeight="false" outlineLevel="0" collapsed="false">
      <c r="A678" s="13" t="s">
        <v>358</v>
      </c>
      <c r="B678" s="13" t="s">
        <v>256</v>
      </c>
      <c r="C678" s="13" t="s">
        <v>269</v>
      </c>
      <c r="D678" s="13" t="s">
        <v>361</v>
      </c>
      <c r="E678" s="14" t="n">
        <v>5.5</v>
      </c>
      <c r="F678" s="14" t="n">
        <v>200</v>
      </c>
      <c r="G678" s="14" t="n">
        <v>1.1</v>
      </c>
      <c r="H678" s="14"/>
      <c r="I678" s="14"/>
      <c r="J678" s="14" t="n">
        <v>51.96</v>
      </c>
      <c r="K678" s="14" t="n">
        <v>81.07</v>
      </c>
      <c r="L678" s="14" t="n">
        <v>2.19</v>
      </c>
      <c r="M678" s="14" t="n">
        <v>45.01</v>
      </c>
      <c r="N678" s="14" t="n">
        <v>4.76</v>
      </c>
      <c r="O678" s="14"/>
      <c r="P678" s="14" t="n">
        <v>0.38</v>
      </c>
      <c r="Q678" s="14" t="n">
        <v>0.6</v>
      </c>
      <c r="R678" s="14" t="n">
        <v>1</v>
      </c>
      <c r="S678" s="14" t="n">
        <v>135.01</v>
      </c>
      <c r="T678" s="14" t="n">
        <v>2.5</v>
      </c>
      <c r="U678" s="14" t="n">
        <v>10.86</v>
      </c>
      <c r="V678" s="14" t="n">
        <v>23.81</v>
      </c>
      <c r="W678" s="14" t="n">
        <v>172.18</v>
      </c>
      <c r="X678" s="14" t="n">
        <v>245.45</v>
      </c>
      <c r="Y678" s="14" t="n">
        <v>73.27</v>
      </c>
      <c r="Z678" s="14" t="n">
        <v>0.81</v>
      </c>
      <c r="AA678" s="14" t="n">
        <v>0</v>
      </c>
      <c r="AB678" s="14" t="n">
        <v>0</v>
      </c>
      <c r="AC678" s="14" t="n">
        <v>0</v>
      </c>
      <c r="AD678" s="15" t="n">
        <f aca="false">H678*E678/1000</f>
        <v>0</v>
      </c>
      <c r="AE678" s="15" t="n">
        <f aca="false">I678*E678/1000</f>
        <v>0</v>
      </c>
      <c r="AF678" s="16" t="n">
        <f aca="false">ROUND(S678+T678+U678+V678-W678,2)</f>
        <v>0</v>
      </c>
      <c r="AG678" s="16" t="n">
        <f aca="false">ROUND(X678-W678-Y678,2)</f>
        <v>0</v>
      </c>
    </row>
    <row r="679" customFormat="false" ht="15" hidden="false" customHeight="false" outlineLevel="0" collapsed="false">
      <c r="A679" s="13" t="s">
        <v>358</v>
      </c>
      <c r="B679" s="13" t="s">
        <v>256</v>
      </c>
      <c r="C679" s="13" t="s">
        <v>240</v>
      </c>
      <c r="D679" s="13" t="s">
        <v>360</v>
      </c>
      <c r="E679" s="14" t="n">
        <v>124.05</v>
      </c>
      <c r="F679" s="14" t="n">
        <v>30</v>
      </c>
      <c r="G679" s="14" t="n">
        <v>3.72</v>
      </c>
      <c r="H679" s="14"/>
      <c r="I679" s="14"/>
      <c r="J679" s="14" t="n">
        <v>73.02</v>
      </c>
      <c r="K679" s="14" t="n">
        <v>75.16</v>
      </c>
      <c r="L679" s="14" t="n">
        <v>2.14</v>
      </c>
      <c r="M679" s="14" t="n">
        <v>18.04</v>
      </c>
      <c r="N679" s="14" t="n">
        <v>8.74</v>
      </c>
      <c r="O679" s="14"/>
      <c r="P679" s="14" t="n">
        <v>0.38</v>
      </c>
      <c r="Q679" s="14"/>
      <c r="R679" s="14"/>
      <c r="S679" s="14" t="n">
        <v>104.46</v>
      </c>
      <c r="T679" s="14" t="n">
        <v>1.8</v>
      </c>
      <c r="U679" s="14" t="n">
        <v>10.86</v>
      </c>
      <c r="V679" s="14" t="n">
        <v>14.69</v>
      </c>
      <c r="W679" s="14" t="n">
        <v>131.82</v>
      </c>
      <c r="X679" s="14" t="n">
        <v>163.43</v>
      </c>
      <c r="Y679" s="14" t="n">
        <v>31.62</v>
      </c>
      <c r="Z679" s="14" t="n">
        <v>1.18</v>
      </c>
      <c r="AA679" s="14" t="n">
        <v>0</v>
      </c>
      <c r="AB679" s="14" t="n">
        <v>0</v>
      </c>
      <c r="AC679" s="14" t="n">
        <v>0</v>
      </c>
      <c r="AD679" s="15" t="n">
        <f aca="false">H679*E679/1000</f>
        <v>0</v>
      </c>
      <c r="AE679" s="15" t="n">
        <f aca="false">I679*E679/1000</f>
        <v>0</v>
      </c>
      <c r="AF679" s="16" t="n">
        <f aca="false">ROUND(S679+T679+U679+V679-W679,2)</f>
        <v>-0.01</v>
      </c>
      <c r="AG679" s="16" t="n">
        <f aca="false">ROUND(X679-W679-Y679,2)</f>
        <v>-0.01</v>
      </c>
    </row>
    <row r="680" customFormat="false" ht="15" hidden="false" customHeight="false" outlineLevel="0" collapsed="false">
      <c r="A680" s="13" t="s">
        <v>358</v>
      </c>
      <c r="B680" s="13" t="s">
        <v>256</v>
      </c>
      <c r="C680" s="13" t="s">
        <v>240</v>
      </c>
      <c r="D680" s="13" t="s">
        <v>361</v>
      </c>
      <c r="E680" s="14" t="n">
        <v>5.5</v>
      </c>
      <c r="F680" s="14" t="n">
        <v>40</v>
      </c>
      <c r="G680" s="14" t="n">
        <v>0.22</v>
      </c>
      <c r="H680" s="14"/>
      <c r="I680" s="14"/>
      <c r="J680" s="14" t="n">
        <v>51.96</v>
      </c>
      <c r="K680" s="14" t="n">
        <v>76.99</v>
      </c>
      <c r="L680" s="14" t="n">
        <v>3.01</v>
      </c>
      <c r="M680" s="14" t="n">
        <v>43.37</v>
      </c>
      <c r="N680" s="14" t="n">
        <v>8.74</v>
      </c>
      <c r="O680" s="14"/>
      <c r="P680" s="14" t="n">
        <v>0.38</v>
      </c>
      <c r="Q680" s="14" t="n">
        <v>0.6</v>
      </c>
      <c r="R680" s="14" t="n">
        <v>1</v>
      </c>
      <c r="S680" s="14" t="n">
        <v>134.08</v>
      </c>
      <c r="T680" s="14" t="n">
        <v>2.5</v>
      </c>
      <c r="U680" s="14" t="n">
        <v>10.86</v>
      </c>
      <c r="V680" s="14" t="n">
        <v>23.81</v>
      </c>
      <c r="W680" s="14" t="n">
        <v>171.26</v>
      </c>
      <c r="X680" s="14" t="n">
        <v>245.45</v>
      </c>
      <c r="Y680" s="14" t="n">
        <v>74.2</v>
      </c>
      <c r="Z680" s="14" t="n">
        <v>0.16</v>
      </c>
      <c r="AA680" s="14" t="n">
        <v>0</v>
      </c>
      <c r="AB680" s="14" t="n">
        <v>0</v>
      </c>
      <c r="AC680" s="14" t="n">
        <v>0</v>
      </c>
      <c r="AD680" s="15" t="n">
        <f aca="false">H680*E680/1000</f>
        <v>0</v>
      </c>
      <c r="AE680" s="15" t="n">
        <f aca="false">I680*E680/1000</f>
        <v>0</v>
      </c>
      <c r="AF680" s="16" t="n">
        <f aca="false">ROUND(S680+T680+U680+V680-W680,2)</f>
        <v>-0.01</v>
      </c>
      <c r="AG680" s="16" t="n">
        <f aca="false">ROUND(X680-W680-Y680,2)</f>
        <v>-0.01</v>
      </c>
    </row>
    <row r="681" customFormat="false" ht="15" hidden="false" customHeight="false" outlineLevel="0" collapsed="false">
      <c r="A681" s="13" t="s">
        <v>358</v>
      </c>
      <c r="B681" s="13" t="s">
        <v>256</v>
      </c>
      <c r="C681" s="13" t="s">
        <v>241</v>
      </c>
      <c r="D681" s="13" t="s">
        <v>360</v>
      </c>
      <c r="E681" s="14" t="n">
        <v>124.05</v>
      </c>
      <c r="F681" s="14" t="n">
        <v>170</v>
      </c>
      <c r="G681" s="14" t="n">
        <v>21.09</v>
      </c>
      <c r="H681" s="14"/>
      <c r="I681" s="14"/>
      <c r="J681" s="14" t="n">
        <v>73.02</v>
      </c>
      <c r="K681" s="14" t="n">
        <v>67.22</v>
      </c>
      <c r="L681" s="14" t="n">
        <v>2.14</v>
      </c>
      <c r="M681" s="14" t="n">
        <v>21.5</v>
      </c>
      <c r="N681" s="14" t="n">
        <v>3.88</v>
      </c>
      <c r="O681" s="14"/>
      <c r="P681" s="14" t="n">
        <v>0.38</v>
      </c>
      <c r="Q681" s="14"/>
      <c r="R681" s="14"/>
      <c r="S681" s="14" t="n">
        <v>95.11</v>
      </c>
      <c r="T681" s="14" t="n">
        <v>1.8</v>
      </c>
      <c r="U681" s="14" t="n">
        <v>11.87</v>
      </c>
      <c r="V681" s="14" t="n">
        <v>15.06</v>
      </c>
      <c r="W681" s="14" t="n">
        <v>123.84</v>
      </c>
      <c r="X681" s="14" t="n">
        <v>163.43</v>
      </c>
      <c r="Y681" s="14" t="n">
        <v>39.59</v>
      </c>
      <c r="Z681" s="14" t="n">
        <v>8.35</v>
      </c>
      <c r="AA681" s="14" t="n">
        <v>0</v>
      </c>
      <c r="AB681" s="14" t="n">
        <v>0</v>
      </c>
      <c r="AC681" s="14" t="n">
        <v>0</v>
      </c>
      <c r="AD681" s="15" t="n">
        <f aca="false">H681*E681/1000</f>
        <v>0</v>
      </c>
      <c r="AE681" s="15" t="n">
        <f aca="false">I681*E681/1000</f>
        <v>0</v>
      </c>
      <c r="AF681" s="16" t="n">
        <f aca="false">ROUND(S681+T681+U681+V681-W681,2)</f>
        <v>0</v>
      </c>
      <c r="AG681" s="16" t="n">
        <f aca="false">ROUND(X681-W681-Y681,2)</f>
        <v>0</v>
      </c>
    </row>
    <row r="682" customFormat="false" ht="15" hidden="false" customHeight="false" outlineLevel="0" collapsed="false">
      <c r="A682" s="13" t="s">
        <v>358</v>
      </c>
      <c r="B682" s="13" t="s">
        <v>277</v>
      </c>
      <c r="C682" s="13" t="s">
        <v>229</v>
      </c>
      <c r="D682" s="13" t="s">
        <v>361</v>
      </c>
      <c r="E682" s="14" t="n">
        <v>5.5</v>
      </c>
      <c r="F682" s="14" t="n">
        <v>192</v>
      </c>
      <c r="G682" s="14" t="n">
        <v>1.056</v>
      </c>
      <c r="H682" s="14" t="n">
        <v>5</v>
      </c>
      <c r="I682" s="14"/>
      <c r="J682" s="14" t="n">
        <v>51.96</v>
      </c>
      <c r="K682" s="14" t="n">
        <v>78.17</v>
      </c>
      <c r="L682" s="14" t="n">
        <v>3.23</v>
      </c>
      <c r="M682" s="14" t="n">
        <v>41.89</v>
      </c>
      <c r="N682" s="14" t="n">
        <v>5</v>
      </c>
      <c r="O682" s="14"/>
      <c r="P682" s="14" t="n">
        <v>0.38</v>
      </c>
      <c r="Q682" s="14" t="n">
        <v>0.6</v>
      </c>
      <c r="R682" s="14" t="n">
        <v>1</v>
      </c>
      <c r="S682" s="14" t="n">
        <v>130.27</v>
      </c>
      <c r="T682" s="14" t="n">
        <v>2.5</v>
      </c>
      <c r="U682" s="14" t="n">
        <v>10.65</v>
      </c>
      <c r="V682" s="14" t="n">
        <v>22.86</v>
      </c>
      <c r="W682" s="14" t="n">
        <v>166.28</v>
      </c>
      <c r="X682" s="14" t="n">
        <v>252</v>
      </c>
      <c r="Y682" s="14" t="n">
        <v>85.72</v>
      </c>
      <c r="Z682" s="14" t="n">
        <v>0.86</v>
      </c>
      <c r="AA682" s="14" t="n">
        <v>0.02</v>
      </c>
      <c r="AB682" s="14" t="n">
        <v>0</v>
      </c>
      <c r="AC682" s="14" t="n">
        <v>0.02</v>
      </c>
      <c r="AD682" s="15" t="n">
        <f aca="false">H682*E682/1000</f>
        <v>0.0275</v>
      </c>
      <c r="AE682" s="15" t="n">
        <f aca="false">I682*E682/1000</f>
        <v>0</v>
      </c>
      <c r="AF682" s="16" t="n">
        <f aca="false">ROUND(S682+T682+U682+V682-W682,2)</f>
        <v>0</v>
      </c>
      <c r="AG682" s="16" t="n">
        <f aca="false">ROUND(X682-W682-Y682,2)</f>
        <v>0</v>
      </c>
    </row>
    <row r="683" customFormat="false" ht="15" hidden="false" customHeight="false" outlineLevel="0" collapsed="false">
      <c r="A683" s="13" t="s">
        <v>358</v>
      </c>
      <c r="B683" s="13" t="s">
        <v>277</v>
      </c>
      <c r="C683" s="13" t="s">
        <v>240</v>
      </c>
      <c r="D683" s="13" t="s">
        <v>361</v>
      </c>
      <c r="E683" s="14" t="n">
        <v>5.5</v>
      </c>
      <c r="F683" s="14" t="n">
        <v>192</v>
      </c>
      <c r="G683" s="14" t="n">
        <v>1.056</v>
      </c>
      <c r="H683" s="14"/>
      <c r="I683" s="14"/>
      <c r="J683" s="14" t="n">
        <v>51.96</v>
      </c>
      <c r="K683" s="14" t="n">
        <v>81.01</v>
      </c>
      <c r="L683" s="14" t="n">
        <v>2.66</v>
      </c>
      <c r="M683" s="14" t="n">
        <v>22.07</v>
      </c>
      <c r="N683" s="14" t="n">
        <v>7</v>
      </c>
      <c r="O683" s="14"/>
      <c r="P683" s="14" t="n">
        <v>0.38</v>
      </c>
      <c r="Q683" s="14" t="n">
        <v>0.6</v>
      </c>
      <c r="R683" s="14" t="n">
        <v>1</v>
      </c>
      <c r="S683" s="14" t="n">
        <v>114.71</v>
      </c>
      <c r="T683" s="14" t="n">
        <v>2.5</v>
      </c>
      <c r="U683" s="14" t="n">
        <v>10.65</v>
      </c>
      <c r="V683" s="14" t="n">
        <v>22.66</v>
      </c>
      <c r="W683" s="14" t="n">
        <v>150.52</v>
      </c>
      <c r="X683" s="14" t="n">
        <v>252</v>
      </c>
      <c r="Y683" s="14" t="n">
        <v>101.48</v>
      </c>
      <c r="Z683" s="14" t="n">
        <v>1.07</v>
      </c>
      <c r="AA683" s="14" t="n">
        <v>0</v>
      </c>
      <c r="AB683" s="14" t="n">
        <v>0</v>
      </c>
      <c r="AC683" s="14" t="n">
        <v>0</v>
      </c>
      <c r="AD683" s="15" t="n">
        <f aca="false">H683*E683/1000</f>
        <v>0</v>
      </c>
      <c r="AE683" s="15" t="n">
        <f aca="false">I683*E683/1000</f>
        <v>0</v>
      </c>
      <c r="AF683" s="16" t="n">
        <f aca="false">ROUND(S683+T683+U683+V683-W683,2)</f>
        <v>0</v>
      </c>
      <c r="AG683" s="16" t="n">
        <f aca="false">ROUND(X683-W683-Y683,2)</f>
        <v>0</v>
      </c>
    </row>
    <row r="684" customFormat="false" ht="15" hidden="false" customHeight="false" outlineLevel="0" collapsed="false">
      <c r="A684" s="13"/>
      <c r="B684" s="13" t="s">
        <v>277</v>
      </c>
      <c r="C684" s="13" t="s">
        <v>229</v>
      </c>
      <c r="D684" s="13" t="s">
        <v>363</v>
      </c>
      <c r="E684" s="14" t="n">
        <v>130</v>
      </c>
      <c r="F684" s="14" t="n">
        <v>2</v>
      </c>
      <c r="G684" s="14" t="n">
        <v>0.26</v>
      </c>
      <c r="H684" s="14"/>
      <c r="I684" s="14"/>
      <c r="J684" s="14" t="n">
        <v>61.76</v>
      </c>
      <c r="K684" s="14" t="n">
        <v>75.57</v>
      </c>
      <c r="L684" s="14" t="n">
        <v>2.72</v>
      </c>
      <c r="M684" s="14" t="n">
        <v>20.88</v>
      </c>
      <c r="N684" s="14" t="n">
        <v>5</v>
      </c>
      <c r="O684" s="14"/>
      <c r="P684" s="14" t="n">
        <v>0.38</v>
      </c>
      <c r="Q684" s="14"/>
      <c r="R684" s="14" t="n">
        <v>10</v>
      </c>
      <c r="S684" s="14" t="n">
        <v>114.55</v>
      </c>
      <c r="T684" s="14" t="n">
        <v>0</v>
      </c>
      <c r="U684" s="14" t="n">
        <v>10.65</v>
      </c>
      <c r="V684" s="14" t="n">
        <v>22.47</v>
      </c>
      <c r="W684" s="14" t="n">
        <v>147.67</v>
      </c>
      <c r="X684" s="14" t="n">
        <v>198</v>
      </c>
      <c r="Y684" s="14" t="n">
        <v>50.33</v>
      </c>
      <c r="Z684" s="14" t="n">
        <v>0.13</v>
      </c>
      <c r="AA684" s="14" t="n">
        <v>0</v>
      </c>
      <c r="AB684" s="14" t="n">
        <v>0</v>
      </c>
      <c r="AC684" s="14" t="n">
        <v>0</v>
      </c>
      <c r="AD684" s="15" t="n">
        <f aca="false">H684*E684/1000</f>
        <v>0</v>
      </c>
      <c r="AE684" s="15" t="n">
        <f aca="false">I684*E684/1000</f>
        <v>0</v>
      </c>
      <c r="AF684" s="16" t="n">
        <f aca="false">ROUND(S684+T684+U684+V684-W684,2)</f>
        <v>0</v>
      </c>
      <c r="AG684" s="16" t="n">
        <f aca="false">ROUND(X684-W684-Y684,2)</f>
        <v>0</v>
      </c>
    </row>
    <row r="685" customFormat="false" ht="15" hidden="false" customHeight="false" outlineLevel="0" collapsed="false">
      <c r="A685" s="13" t="s">
        <v>364</v>
      </c>
      <c r="B685" s="13" t="s">
        <v>277</v>
      </c>
      <c r="C685" s="13" t="s">
        <v>234</v>
      </c>
      <c r="D685" s="13" t="s">
        <v>363</v>
      </c>
      <c r="E685" s="14" t="n">
        <v>130</v>
      </c>
      <c r="F685" s="14" t="n">
        <v>46</v>
      </c>
      <c r="G685" s="14" t="n">
        <v>5.98</v>
      </c>
      <c r="H685" s="14"/>
      <c r="I685" s="14"/>
      <c r="J685" s="14" t="n">
        <v>73.53</v>
      </c>
      <c r="K685" s="14" t="n">
        <v>68.41</v>
      </c>
      <c r="L685" s="14" t="n">
        <v>2.28</v>
      </c>
      <c r="M685" s="14" t="n">
        <v>8.77</v>
      </c>
      <c r="N685" s="14" t="n">
        <v>5</v>
      </c>
      <c r="O685" s="14"/>
      <c r="P685" s="14" t="n">
        <v>0.38</v>
      </c>
      <c r="Q685" s="14"/>
      <c r="R685" s="14"/>
      <c r="S685" s="14" t="n">
        <v>84.85</v>
      </c>
      <c r="T685" s="14" t="n">
        <v>0</v>
      </c>
      <c r="U685" s="14" t="n">
        <v>10.65</v>
      </c>
      <c r="V685" s="14" t="n">
        <v>20.56</v>
      </c>
      <c r="W685" s="14" t="n">
        <v>116.06</v>
      </c>
      <c r="X685" s="14" t="n">
        <v>198</v>
      </c>
      <c r="Y685" s="14" t="n">
        <v>81.94</v>
      </c>
      <c r="Z685" s="14" t="n">
        <v>4.9</v>
      </c>
      <c r="AA685" s="14" t="n">
        <v>0</v>
      </c>
      <c r="AB685" s="14" t="n">
        <v>0</v>
      </c>
      <c r="AC685" s="14" t="n">
        <v>0</v>
      </c>
      <c r="AD685" s="15" t="n">
        <f aca="false">H685*E685/1000</f>
        <v>0</v>
      </c>
      <c r="AE685" s="15" t="n">
        <f aca="false">I685*E685/1000</f>
        <v>0</v>
      </c>
      <c r="AF685" s="16" t="n">
        <f aca="false">ROUND(S685+T685+U685+V685-W685,2)</f>
        <v>0</v>
      </c>
      <c r="AG685" s="16" t="n">
        <f aca="false">ROUND(X685-W685-Y685,2)</f>
        <v>0</v>
      </c>
    </row>
    <row r="686" customFormat="false" ht="15" hidden="false" customHeight="false" outlineLevel="0" collapsed="false">
      <c r="A686" s="13" t="s">
        <v>364</v>
      </c>
      <c r="B686" s="13" t="s">
        <v>277</v>
      </c>
      <c r="C686" s="13" t="s">
        <v>240</v>
      </c>
      <c r="D686" s="13" t="s">
        <v>363</v>
      </c>
      <c r="E686" s="14" t="n">
        <v>123</v>
      </c>
      <c r="F686" s="14" t="n">
        <v>16</v>
      </c>
      <c r="G686" s="14" t="n">
        <v>1.97</v>
      </c>
      <c r="H686" s="14"/>
      <c r="I686" s="14"/>
      <c r="J686" s="14" t="n">
        <v>73.53</v>
      </c>
      <c r="K686" s="14" t="n">
        <v>77.5</v>
      </c>
      <c r="L686" s="14" t="n">
        <v>1.88</v>
      </c>
      <c r="M686" s="14" t="n">
        <v>6.31</v>
      </c>
      <c r="N686" s="14" t="n">
        <v>7</v>
      </c>
      <c r="O686" s="14"/>
      <c r="P686" s="14" t="n">
        <v>0.38</v>
      </c>
      <c r="Q686" s="14"/>
      <c r="R686" s="14"/>
      <c r="S686" s="14" t="n">
        <v>93.07</v>
      </c>
      <c r="T686" s="14" t="n">
        <v>0</v>
      </c>
      <c r="U686" s="14" t="n">
        <v>10.65</v>
      </c>
      <c r="V686" s="14" t="n">
        <v>18.92</v>
      </c>
      <c r="W686" s="14" t="n">
        <v>122.64</v>
      </c>
      <c r="X686" s="14" t="n">
        <v>193</v>
      </c>
      <c r="Y686" s="14" t="n">
        <v>70.36</v>
      </c>
      <c r="Z686" s="14" t="n">
        <v>1.38</v>
      </c>
      <c r="AA686" s="14" t="n">
        <v>0</v>
      </c>
      <c r="AB686" s="14" t="n">
        <v>0</v>
      </c>
      <c r="AC686" s="14" t="n">
        <v>0</v>
      </c>
      <c r="AD686" s="15" t="n">
        <f aca="false">H686*E686/1000</f>
        <v>0</v>
      </c>
      <c r="AE686" s="15" t="n">
        <f aca="false">I686*E686/1000</f>
        <v>0</v>
      </c>
      <c r="AF686" s="16" t="n">
        <f aca="false">ROUND(S686+T686+U686+V686-W686,2)</f>
        <v>0</v>
      </c>
      <c r="AG686" s="16" t="n">
        <f aca="false">ROUND(X686-W686-Y686,2)</f>
        <v>0</v>
      </c>
    </row>
    <row r="687" customFormat="false" ht="15" hidden="false" customHeight="false" outlineLevel="0" collapsed="false">
      <c r="A687" s="13"/>
      <c r="B687" s="13" t="s">
        <v>277</v>
      </c>
      <c r="C687" s="13" t="s">
        <v>240</v>
      </c>
      <c r="D687" s="13" t="s">
        <v>363</v>
      </c>
      <c r="E687" s="14" t="n">
        <v>123</v>
      </c>
      <c r="F687" s="14" t="n">
        <v>10</v>
      </c>
      <c r="G687" s="14" t="n">
        <v>1.23</v>
      </c>
      <c r="H687" s="14"/>
      <c r="I687" s="14"/>
      <c r="J687" s="14" t="n">
        <v>73.53</v>
      </c>
      <c r="K687" s="14" t="n">
        <v>129.55</v>
      </c>
      <c r="L687" s="14" t="n">
        <v>1.88</v>
      </c>
      <c r="M687" s="14" t="n">
        <v>6.31</v>
      </c>
      <c r="N687" s="14" t="n">
        <v>7</v>
      </c>
      <c r="O687" s="14"/>
      <c r="P687" s="14" t="n">
        <v>0.38</v>
      </c>
      <c r="Q687" s="14"/>
      <c r="R687" s="14"/>
      <c r="S687" s="14" t="n">
        <v>145.11</v>
      </c>
      <c r="T687" s="14" t="n">
        <v>0</v>
      </c>
      <c r="U687" s="14" t="n">
        <v>10.65</v>
      </c>
      <c r="V687" s="14" t="n">
        <v>18.65</v>
      </c>
      <c r="W687" s="14" t="n">
        <v>174.41</v>
      </c>
      <c r="X687" s="14" t="n">
        <v>260</v>
      </c>
      <c r="Y687" s="14" t="n">
        <v>85.59</v>
      </c>
      <c r="Z687" s="14" t="n">
        <v>1.05</v>
      </c>
      <c r="AA687" s="14" t="n">
        <v>0</v>
      </c>
      <c r="AB687" s="14" t="n">
        <v>0</v>
      </c>
      <c r="AC687" s="14" t="n">
        <v>0</v>
      </c>
      <c r="AD687" s="15" t="n">
        <f aca="false">H687*E687/1000</f>
        <v>0</v>
      </c>
      <c r="AE687" s="15" t="n">
        <f aca="false">I687*E687/1000</f>
        <v>0</v>
      </c>
      <c r="AF687" s="16" t="n">
        <f aca="false">ROUND(S687+T687+U687+V687-W687,2)</f>
        <v>0</v>
      </c>
      <c r="AG687" s="16" t="n">
        <f aca="false">ROUND(X687-W687-Y687,2)</f>
        <v>0</v>
      </c>
    </row>
  </sheetData>
  <autoFilter ref="A3:AG6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8"/>
    <col collapsed="false" customWidth="true" hidden="false" outlineLevel="0" max="14" min="3" style="0" width="10"/>
    <col collapsed="false" customWidth="true" hidden="false" outlineLevel="0" max="15" min="15" style="0" width="70"/>
  </cols>
  <sheetData>
    <row r="1" customFormat="false" ht="15" hidden="false" customHeight="false" outlineLevel="0" collapsed="false">
      <c r="A1" s="11" t="s">
        <v>365</v>
      </c>
    </row>
    <row r="2" customFormat="false" ht="15" hidden="false" customHeight="false" outlineLevel="0" collapsed="false">
      <c r="A2" s="0" t="s">
        <v>366</v>
      </c>
      <c r="C2" s="17" t="s">
        <v>297</v>
      </c>
    </row>
    <row r="4" customFormat="false" ht="15" hidden="false" customHeight="false" outlineLevel="0" collapsed="false">
      <c r="A4" s="5" t="s">
        <v>367</v>
      </c>
      <c r="B4" s="5" t="s">
        <v>368</v>
      </c>
      <c r="C4" s="5" t="s">
        <v>108</v>
      </c>
      <c r="D4" s="5" t="s">
        <v>109</v>
      </c>
      <c r="E4" s="5" t="s">
        <v>110</v>
      </c>
      <c r="F4" s="5" t="s">
        <v>111</v>
      </c>
      <c r="G4" s="5" t="s">
        <v>112</v>
      </c>
      <c r="H4" s="5" t="s">
        <v>113</v>
      </c>
      <c r="I4" s="5" t="s">
        <v>114</v>
      </c>
      <c r="J4" s="5" t="s">
        <v>115</v>
      </c>
      <c r="K4" s="5" t="s">
        <v>116</v>
      </c>
      <c r="L4" s="5" t="s">
        <v>117</v>
      </c>
      <c r="M4" s="5" t="s">
        <v>118</v>
      </c>
      <c r="N4" s="5" t="s">
        <v>119</v>
      </c>
      <c r="O4" s="5" t="s">
        <v>369</v>
      </c>
    </row>
    <row r="5" customFormat="false" ht="15" hidden="false" customHeight="false" outlineLevel="0" collapsed="false">
      <c r="B5" s="2" t="s">
        <v>370</v>
      </c>
      <c r="C5" s="18" t="n">
        <v>0.18</v>
      </c>
      <c r="D5" s="18" t="n">
        <v>0.18</v>
      </c>
      <c r="E5" s="18" t="n">
        <v>0.18</v>
      </c>
      <c r="F5" s="18" t="n">
        <v>0.18</v>
      </c>
      <c r="G5" s="18" t="n">
        <v>0.18</v>
      </c>
      <c r="H5" s="18" t="n">
        <v>0.18</v>
      </c>
      <c r="I5" s="19" t="n">
        <f aca="false">C5</f>
        <v>0.18</v>
      </c>
      <c r="J5" s="19" t="n">
        <f aca="false">C5</f>
        <v>0.18</v>
      </c>
      <c r="K5" s="19" t="n">
        <f aca="false">C5</f>
        <v>0.18</v>
      </c>
      <c r="L5" s="19" t="n">
        <f aca="false">C5</f>
        <v>0.18</v>
      </c>
      <c r="M5" s="19" t="n">
        <f aca="false">C5</f>
        <v>0.18</v>
      </c>
      <c r="N5" s="19" t="n">
        <f aca="false">C5</f>
        <v>0.18</v>
      </c>
      <c r="O5" s="20" t="s">
        <v>371</v>
      </c>
    </row>
    <row r="7" customFormat="false" ht="15" hidden="false" customHeight="false" outlineLevel="0" collapsed="false">
      <c r="A7" s="21"/>
      <c r="B7" s="22" t="s">
        <v>372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</row>
    <row r="8" customFormat="false" ht="15" hidden="false" customHeight="false" outlineLevel="0" collapsed="false">
      <c r="B8" s="2" t="s">
        <v>373</v>
      </c>
      <c r="C8" s="12" t="n">
        <v>-1.8</v>
      </c>
      <c r="D8" s="12" t="n">
        <v>0</v>
      </c>
      <c r="E8" s="12" t="n">
        <v>2.24</v>
      </c>
      <c r="F8" s="12" t="n">
        <v>3</v>
      </c>
      <c r="G8" s="12" t="n">
        <v>2</v>
      </c>
      <c r="H8" s="12" t="n">
        <v>3</v>
      </c>
      <c r="I8" s="12"/>
      <c r="J8" s="12"/>
      <c r="K8" s="12"/>
      <c r="L8" s="12"/>
      <c r="M8" s="12"/>
      <c r="N8" s="12"/>
      <c r="O8" s="20" t="s">
        <v>374</v>
      </c>
    </row>
    <row r="9" customFormat="false" ht="15" hidden="false" customHeight="false" outlineLevel="0" collapsed="false">
      <c r="B9" s="2" t="s">
        <v>375</v>
      </c>
      <c r="C9" s="12" t="n">
        <v>0</v>
      </c>
      <c r="D9" s="12" t="n">
        <v>0</v>
      </c>
      <c r="E9" s="12" t="n">
        <v>0</v>
      </c>
      <c r="F9" s="12" t="n">
        <v>0</v>
      </c>
      <c r="G9" s="23" t="n">
        <v>3</v>
      </c>
      <c r="H9" s="12" t="n">
        <v>0</v>
      </c>
      <c r="I9" s="12"/>
      <c r="J9" s="12"/>
      <c r="K9" s="12"/>
      <c r="L9" s="12"/>
      <c r="M9" s="12"/>
      <c r="N9" s="12"/>
      <c r="O9" s="20" t="s">
        <v>376</v>
      </c>
    </row>
    <row r="10" customFormat="false" ht="15" hidden="false" customHeight="false" outlineLevel="0" collapsed="false">
      <c r="B10" s="2" t="s">
        <v>377</v>
      </c>
      <c r="C10" s="12" t="n">
        <v>0.14</v>
      </c>
      <c r="D10" s="12" t="n">
        <v>0</v>
      </c>
      <c r="E10" s="12" t="n">
        <v>0.01</v>
      </c>
      <c r="F10" s="12" t="n">
        <v>-0.01</v>
      </c>
      <c r="G10" s="12" t="n">
        <v>0</v>
      </c>
      <c r="H10" s="12" t="n">
        <v>0</v>
      </c>
      <c r="I10" s="12"/>
      <c r="J10" s="12"/>
      <c r="K10" s="12"/>
      <c r="L10" s="12"/>
      <c r="M10" s="12"/>
      <c r="N10" s="12"/>
      <c r="O10" s="20" t="s">
        <v>378</v>
      </c>
    </row>
    <row r="11" customFormat="false" ht="15" hidden="false" customHeight="false" outlineLevel="0" collapsed="false">
      <c r="B11" s="2" t="s">
        <v>379</v>
      </c>
      <c r="C11" s="12" t="n">
        <v>0</v>
      </c>
      <c r="D11" s="12" t="n">
        <v>0.13</v>
      </c>
      <c r="E11" s="23" t="n">
        <v>2.07</v>
      </c>
      <c r="F11" s="12" t="n">
        <v>2</v>
      </c>
      <c r="G11" s="12" t="n">
        <v>2.01</v>
      </c>
      <c r="H11" s="12" t="n">
        <v>2</v>
      </c>
      <c r="I11" s="12"/>
      <c r="J11" s="12"/>
      <c r="K11" s="12"/>
      <c r="L11" s="12"/>
      <c r="M11" s="12"/>
      <c r="N11" s="12"/>
      <c r="O11" s="20" t="s">
        <v>380</v>
      </c>
    </row>
    <row r="12" customFormat="false" ht="15" hidden="false" customHeight="false" outlineLevel="0" collapsed="false">
      <c r="B12" s="2" t="s">
        <v>381</v>
      </c>
      <c r="C12" s="12" t="n">
        <v>0</v>
      </c>
      <c r="D12" s="12" t="n">
        <v>0</v>
      </c>
      <c r="E12" s="23" t="n">
        <v>0</v>
      </c>
      <c r="F12" s="12" t="n">
        <v>0</v>
      </c>
      <c r="G12" s="12" t="n">
        <v>0</v>
      </c>
      <c r="H12" s="12" t="n">
        <v>3.22</v>
      </c>
      <c r="I12" s="12"/>
      <c r="J12" s="12"/>
      <c r="K12" s="12"/>
      <c r="L12" s="12"/>
      <c r="M12" s="12"/>
      <c r="N12" s="12"/>
      <c r="O12" s="20" t="s">
        <v>382</v>
      </c>
    </row>
    <row r="13" customFormat="false" ht="15" hidden="false" customHeight="false" outlineLevel="0" collapsed="false">
      <c r="B13" s="2" t="s">
        <v>383</v>
      </c>
      <c r="C13" s="12" t="n">
        <v>0</v>
      </c>
      <c r="D13" s="12" t="n">
        <v>0</v>
      </c>
      <c r="E13" s="12" t="n">
        <v>0</v>
      </c>
      <c r="F13" s="12" t="n">
        <v>0.06</v>
      </c>
      <c r="G13" s="12" t="n">
        <v>0</v>
      </c>
      <c r="H13" s="12" t="n">
        <v>0</v>
      </c>
      <c r="I13" s="12"/>
      <c r="J13" s="12"/>
      <c r="K13" s="12"/>
      <c r="L13" s="12"/>
      <c r="M13" s="12"/>
      <c r="N13" s="12"/>
      <c r="O13" s="20" t="s">
        <v>384</v>
      </c>
    </row>
    <row r="15" customFormat="false" ht="15" hidden="false" customHeight="false" outlineLevel="0" collapsed="false">
      <c r="A15" s="21"/>
      <c r="B15" s="22" t="s">
        <v>385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</row>
    <row r="16" customFormat="false" ht="15" hidden="false" customHeight="false" outlineLevel="0" collapsed="false">
      <c r="B16" s="2" t="s">
        <v>71</v>
      </c>
      <c r="C16" s="12" t="n">
        <v>3.21</v>
      </c>
      <c r="D16" s="12" t="n">
        <v>4.13</v>
      </c>
      <c r="E16" s="12" t="n">
        <v>4.5</v>
      </c>
      <c r="F16" s="12" t="n">
        <v>7.52</v>
      </c>
      <c r="G16" s="12" t="n">
        <v>6.07</v>
      </c>
      <c r="H16" s="12" t="n">
        <v>7.13</v>
      </c>
      <c r="I16" s="12"/>
      <c r="J16" s="12"/>
      <c r="K16" s="12"/>
      <c r="L16" s="12"/>
      <c r="M16" s="12"/>
      <c r="N16" s="12"/>
      <c r="O16" s="20"/>
    </row>
    <row r="17" customFormat="false" ht="15" hidden="false" customHeight="false" outlineLevel="0" collapsed="false">
      <c r="B17" s="2" t="s">
        <v>74</v>
      </c>
      <c r="C17" s="12" t="n">
        <v>15.91</v>
      </c>
      <c r="D17" s="12" t="n">
        <v>12.37</v>
      </c>
      <c r="E17" s="12" t="n">
        <v>14.85</v>
      </c>
      <c r="F17" s="12" t="n">
        <v>16.85</v>
      </c>
      <c r="G17" s="12" t="n">
        <v>15.87</v>
      </c>
      <c r="H17" s="12" t="n">
        <v>16.61</v>
      </c>
      <c r="I17" s="12"/>
      <c r="J17" s="12"/>
      <c r="K17" s="12"/>
      <c r="L17" s="12"/>
      <c r="M17" s="12"/>
      <c r="N17" s="12"/>
      <c r="O17" s="20"/>
    </row>
    <row r="18" customFormat="false" ht="15" hidden="false" customHeight="false" outlineLevel="0" collapsed="false">
      <c r="B18" s="2" t="s">
        <v>386</v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/>
      <c r="J18" s="12"/>
      <c r="K18" s="12"/>
      <c r="L18" s="12"/>
      <c r="M18" s="12"/>
      <c r="N18" s="12"/>
      <c r="O18" s="20"/>
    </row>
    <row r="19" customFormat="false" ht="15" hidden="false" customHeight="false" outlineLevel="0" collapsed="false">
      <c r="B19" s="2" t="s">
        <v>387</v>
      </c>
      <c r="C19" s="12" t="n">
        <v>0</v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/>
      <c r="J19" s="12"/>
      <c r="K19" s="12"/>
      <c r="L19" s="12"/>
      <c r="M19" s="12"/>
      <c r="N19" s="12"/>
      <c r="O19" s="20"/>
    </row>
    <row r="20" customFormat="false" ht="15" hidden="false" customHeight="false" outlineLevel="0" collapsed="false">
      <c r="B20" s="2" t="s">
        <v>84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/>
      <c r="J20" s="12"/>
      <c r="K20" s="12"/>
      <c r="L20" s="12"/>
      <c r="M20" s="12"/>
      <c r="N20" s="12"/>
      <c r="O20" s="20"/>
    </row>
    <row r="21" customFormat="false" ht="15" hidden="false" customHeight="false" outlineLevel="0" collapsed="false">
      <c r="B21" s="2" t="s">
        <v>85</v>
      </c>
      <c r="C21" s="12" t="n">
        <v>0</v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/>
      <c r="J21" s="12"/>
      <c r="K21" s="12"/>
      <c r="L21" s="12"/>
      <c r="M21" s="12"/>
      <c r="N21" s="12"/>
      <c r="O21" s="20"/>
    </row>
    <row r="23" customFormat="false" ht="15" hidden="false" customHeight="false" outlineLevel="0" collapsed="false">
      <c r="A23" s="21"/>
      <c r="B23" s="22" t="s">
        <v>388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</row>
    <row r="24" customFormat="false" ht="15" hidden="false" customHeight="false" outlineLevel="0" collapsed="false">
      <c r="B24" s="2" t="s">
        <v>88</v>
      </c>
      <c r="C24" s="12" t="n">
        <v>33.56</v>
      </c>
      <c r="D24" s="12" t="n">
        <v>84.62</v>
      </c>
      <c r="E24" s="12" t="n">
        <v>83</v>
      </c>
      <c r="F24" s="23" t="n">
        <v>84.62</v>
      </c>
      <c r="G24" s="12" t="n">
        <v>77.44</v>
      </c>
      <c r="H24" s="12" t="n">
        <v>105.48</v>
      </c>
      <c r="I24" s="12"/>
      <c r="J24" s="12"/>
      <c r="K24" s="12"/>
      <c r="L24" s="12"/>
      <c r="M24" s="12"/>
      <c r="N24" s="12"/>
      <c r="O24" s="20" t="s">
        <v>389</v>
      </c>
    </row>
    <row r="25" customFormat="false" ht="15" hidden="false" customHeight="false" outlineLevel="0" collapsed="false">
      <c r="B25" s="2" t="s">
        <v>89</v>
      </c>
      <c r="C25" s="12" t="n">
        <v>50.44</v>
      </c>
      <c r="D25" s="12" t="n">
        <v>36.67</v>
      </c>
      <c r="E25" s="12" t="n">
        <v>106.07</v>
      </c>
      <c r="F25" s="23" t="n">
        <v>36.67</v>
      </c>
      <c r="G25" s="12" t="n">
        <v>94.58</v>
      </c>
      <c r="H25" s="12" t="n">
        <v>89.34</v>
      </c>
      <c r="I25" s="12"/>
      <c r="J25" s="12"/>
      <c r="K25" s="12"/>
      <c r="L25" s="12"/>
      <c r="M25" s="12"/>
      <c r="N25" s="12"/>
      <c r="O25" s="20" t="s">
        <v>389</v>
      </c>
    </row>
    <row r="26" customFormat="false" ht="15" hidden="false" customHeight="false" outlineLevel="0" collapsed="false">
      <c r="B26" s="2" t="s">
        <v>90</v>
      </c>
      <c r="C26" s="12" t="n">
        <v>5.73</v>
      </c>
      <c r="D26" s="12" t="n">
        <v>6.9</v>
      </c>
      <c r="E26" s="12" t="n">
        <v>9.39</v>
      </c>
      <c r="F26" s="23" t="n">
        <v>6.9</v>
      </c>
      <c r="G26" s="12" t="n">
        <v>9.16</v>
      </c>
      <c r="H26" s="12" t="n">
        <v>9.04</v>
      </c>
      <c r="I26" s="12"/>
      <c r="J26" s="12"/>
      <c r="K26" s="12"/>
      <c r="L26" s="12"/>
      <c r="M26" s="12"/>
      <c r="N26" s="12"/>
      <c r="O26" s="20" t="s">
        <v>389</v>
      </c>
    </row>
    <row r="27" customFormat="false" ht="15" hidden="false" customHeight="false" outlineLevel="0" collapsed="false">
      <c r="B27" s="2" t="s">
        <v>93</v>
      </c>
      <c r="C27" s="12" t="n">
        <v>149.75</v>
      </c>
      <c r="D27" s="12" t="n">
        <v>126.8</v>
      </c>
      <c r="E27" s="12" t="n">
        <v>238.95</v>
      </c>
      <c r="F27" s="12" t="n">
        <v>269.64</v>
      </c>
      <c r="G27" s="12" t="n">
        <v>302.91</v>
      </c>
      <c r="H27" s="12" t="n">
        <v>284.24</v>
      </c>
      <c r="I27" s="12"/>
      <c r="J27" s="12"/>
      <c r="K27" s="12"/>
      <c r="L27" s="12"/>
      <c r="M27" s="12"/>
      <c r="N27" s="12"/>
      <c r="O27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14" min="2" style="0" width="10.51"/>
  </cols>
  <sheetData>
    <row r="1" customFormat="false" ht="15" hidden="false" customHeight="false" outlineLevel="0" collapsed="false">
      <c r="A1" s="11" t="s">
        <v>390</v>
      </c>
    </row>
    <row r="2" customFormat="false" ht="15" hidden="false" customHeight="false" outlineLevel="0" collapsed="false">
      <c r="A2" s="0" t="s">
        <v>391</v>
      </c>
      <c r="B2" s="24" t="str">
        <f aca="false">IN_HO!C2</f>
        <v>2026-27</v>
      </c>
    </row>
    <row r="4" customFormat="false" ht="15" hidden="false" customHeight="false" outlineLevel="0" collapsed="false">
      <c r="A4" s="5" t="s">
        <v>392</v>
      </c>
      <c r="B4" s="5" t="s">
        <v>393</v>
      </c>
      <c r="C4" s="5" t="s">
        <v>226</v>
      </c>
      <c r="D4" s="5" t="s">
        <v>394</v>
      </c>
      <c r="E4" s="5" t="s">
        <v>395</v>
      </c>
      <c r="F4" s="5" t="s">
        <v>396</v>
      </c>
      <c r="G4" s="5" t="s">
        <v>397</v>
      </c>
      <c r="H4" s="5" t="s">
        <v>398</v>
      </c>
      <c r="I4" s="5" t="s">
        <v>399</v>
      </c>
      <c r="J4" s="5" t="s">
        <v>400</v>
      </c>
      <c r="K4" s="5" t="s">
        <v>401</v>
      </c>
      <c r="L4" s="5" t="s">
        <v>402</v>
      </c>
      <c r="M4" s="5" t="s">
        <v>403</v>
      </c>
      <c r="N4" s="5" t="s">
        <v>52</v>
      </c>
    </row>
    <row r="5" customFormat="false" ht="15" hidden="false" customHeight="false" outlineLevel="0" collapsed="false">
      <c r="A5" s="13" t="s">
        <v>217</v>
      </c>
      <c r="B5" s="9" t="n">
        <f aca="false">SUMIFS(IN_Contrib!$Z$4:$Z$2000,IN_Contrib!$A$4:$A$2000,$A5,IN_Contrib!$B$4:$B$2000,$B$2,IN_Contrib!$C$4:$C$2000,"April")</f>
        <v>8.58</v>
      </c>
      <c r="C5" s="9" t="n">
        <f aca="false">SUMIFS(IN_Contrib!$Z$4:$Z$2000,IN_Contrib!$A$4:$A$2000,$A5,IN_Contrib!$B$4:$B$2000,$B$2,IN_Contrib!$C$4:$C$2000,"May")</f>
        <v>45.44</v>
      </c>
      <c r="D5" s="9" t="n">
        <f aca="false">SUMIFS(IN_Contrib!$Z$4:$Z$2000,IN_Contrib!$A$4:$A$2000,$A5,IN_Contrib!$B$4:$B$2000,$B$2,IN_Contrib!$C$4:$C$2000,"June")</f>
        <v>55.89</v>
      </c>
      <c r="E5" s="9" t="n">
        <f aca="false">SUMIFS(IN_Contrib!$Z$4:$Z$2000,IN_Contrib!$A$4:$A$2000,$A5,IN_Contrib!$B$4:$B$2000,$B$2,IN_Contrib!$C$4:$C$2000,"July")</f>
        <v>33.82</v>
      </c>
      <c r="F5" s="9" t="n">
        <f aca="false">SUMIFS(IN_Contrib!$Z$4:$Z$2000,IN_Contrib!$A$4:$A$2000,$A5,IN_Contrib!$B$4:$B$2000,$B$2,IN_Contrib!$C$4:$C$2000,"August")</f>
        <v>14.57</v>
      </c>
      <c r="G5" s="9" t="n">
        <f aca="false">SUMIFS(IN_Contrib!$Z$4:$Z$2000,IN_Contrib!$A$4:$A$2000,$A5,IN_Contrib!$B$4:$B$2000,$B$2,IN_Contrib!$C$4:$C$2000,"September")</f>
        <v>49.48</v>
      </c>
      <c r="H5" s="9" t="n">
        <f aca="false">SUMIFS(IN_Contrib!$Z$4:$Z$2000,IN_Contrib!$A$4:$A$2000,$A5,IN_Contrib!$B$4:$B$2000,$B$2,IN_Contrib!$C$4:$C$2000,"October")</f>
        <v>0</v>
      </c>
      <c r="I5" s="9" t="n">
        <f aca="false">SUMIFS(IN_Contrib!$Z$4:$Z$2000,IN_Contrib!$A$4:$A$2000,$A5,IN_Contrib!$B$4:$B$2000,$B$2,IN_Contrib!$C$4:$C$2000,"November")</f>
        <v>0</v>
      </c>
      <c r="J5" s="9" t="n">
        <f aca="false">SUMIFS(IN_Contrib!$Z$4:$Z$2000,IN_Contrib!$A$4:$A$2000,$A5,IN_Contrib!$B$4:$B$2000,$B$2,IN_Contrib!$C$4:$C$2000,"December")</f>
        <v>0</v>
      </c>
      <c r="K5" s="9" t="n">
        <f aca="false">SUMIFS(IN_Contrib!$Z$4:$Z$2000,IN_Contrib!$A$4:$A$2000,$A5,IN_Contrib!$B$4:$B$2000,$B$2,IN_Contrib!$C$4:$C$2000,"January")</f>
        <v>0</v>
      </c>
      <c r="L5" s="9" t="n">
        <f aca="false">SUMIFS(IN_Contrib!$Z$4:$Z$2000,IN_Contrib!$A$4:$A$2000,$A5,IN_Contrib!$B$4:$B$2000,$B$2,IN_Contrib!$C$4:$C$2000,"February")</f>
        <v>0</v>
      </c>
      <c r="M5" s="9" t="n">
        <f aca="false">SUMIFS(IN_Contrib!$Z$4:$Z$2000,IN_Contrib!$A$4:$A$2000,$A5,IN_Contrib!$B$4:$B$2000,$B$2,IN_Contrib!$C$4:$C$2000,"March")</f>
        <v>0</v>
      </c>
      <c r="N5" s="9" t="n">
        <f aca="false">SUM(B5:M5)</f>
        <v>207.78</v>
      </c>
    </row>
    <row r="6" customFormat="false" ht="15" hidden="false" customHeight="false" outlineLevel="0" collapsed="false">
      <c r="A6" s="13" t="s">
        <v>305</v>
      </c>
      <c r="B6" s="9" t="n">
        <f aca="false">SUMIFS(IN_Contrib!$Z$4:$Z$2000,IN_Contrib!$A$4:$A$2000,$A6,IN_Contrib!$B$4:$B$2000,$B$2,IN_Contrib!$C$4:$C$2000,"April")</f>
        <v>12.38</v>
      </c>
      <c r="C6" s="9" t="n">
        <f aca="false">SUMIFS(IN_Contrib!$Z$4:$Z$2000,IN_Contrib!$A$4:$A$2000,$A6,IN_Contrib!$B$4:$B$2000,$B$2,IN_Contrib!$C$4:$C$2000,"May")</f>
        <v>1.39</v>
      </c>
      <c r="D6" s="9" t="n">
        <f aca="false">SUMIFS(IN_Contrib!$Z$4:$Z$2000,IN_Contrib!$A$4:$A$2000,$A6,IN_Contrib!$B$4:$B$2000,$B$2,IN_Contrib!$C$4:$C$2000,"June")</f>
        <v>0</v>
      </c>
      <c r="E6" s="9" t="n">
        <f aca="false">SUMIFS(IN_Contrib!$Z$4:$Z$2000,IN_Contrib!$A$4:$A$2000,$A6,IN_Contrib!$B$4:$B$2000,$B$2,IN_Contrib!$C$4:$C$2000,"July")</f>
        <v>23.23</v>
      </c>
      <c r="F6" s="9" t="n">
        <f aca="false">SUMIFS(IN_Contrib!$Z$4:$Z$2000,IN_Contrib!$A$4:$A$2000,$A6,IN_Contrib!$B$4:$B$2000,$B$2,IN_Contrib!$C$4:$C$2000,"August")</f>
        <v>33.41</v>
      </c>
      <c r="G6" s="9" t="n">
        <f aca="false">SUMIFS(IN_Contrib!$Z$4:$Z$2000,IN_Contrib!$A$4:$A$2000,$A6,IN_Contrib!$B$4:$B$2000,$B$2,IN_Contrib!$C$4:$C$2000,"September")</f>
        <v>22.54</v>
      </c>
      <c r="H6" s="9" t="n">
        <f aca="false">SUMIFS(IN_Contrib!$Z$4:$Z$2000,IN_Contrib!$A$4:$A$2000,$A6,IN_Contrib!$B$4:$B$2000,$B$2,IN_Contrib!$C$4:$C$2000,"October")</f>
        <v>0</v>
      </c>
      <c r="I6" s="9" t="n">
        <f aca="false">SUMIFS(IN_Contrib!$Z$4:$Z$2000,IN_Contrib!$A$4:$A$2000,$A6,IN_Contrib!$B$4:$B$2000,$B$2,IN_Contrib!$C$4:$C$2000,"November")</f>
        <v>0</v>
      </c>
      <c r="J6" s="9" t="n">
        <f aca="false">SUMIFS(IN_Contrib!$Z$4:$Z$2000,IN_Contrib!$A$4:$A$2000,$A6,IN_Contrib!$B$4:$B$2000,$B$2,IN_Contrib!$C$4:$C$2000,"December")</f>
        <v>0</v>
      </c>
      <c r="K6" s="9" t="n">
        <f aca="false">SUMIFS(IN_Contrib!$Z$4:$Z$2000,IN_Contrib!$A$4:$A$2000,$A6,IN_Contrib!$B$4:$B$2000,$B$2,IN_Contrib!$C$4:$C$2000,"January")</f>
        <v>0</v>
      </c>
      <c r="L6" s="9" t="n">
        <f aca="false">SUMIFS(IN_Contrib!$Z$4:$Z$2000,IN_Contrib!$A$4:$A$2000,$A6,IN_Contrib!$B$4:$B$2000,$B$2,IN_Contrib!$C$4:$C$2000,"February")</f>
        <v>0</v>
      </c>
      <c r="M6" s="9" t="n">
        <f aca="false">SUMIFS(IN_Contrib!$Z$4:$Z$2000,IN_Contrib!$A$4:$A$2000,$A6,IN_Contrib!$B$4:$B$2000,$B$2,IN_Contrib!$C$4:$C$2000,"March")</f>
        <v>0</v>
      </c>
      <c r="N6" s="9" t="n">
        <f aca="false">SUM(B6:M6)</f>
        <v>92.95</v>
      </c>
    </row>
    <row r="7" customFormat="false" ht="15" hidden="false" customHeight="false" outlineLevel="0" collapsed="false">
      <c r="A7" s="13" t="s">
        <v>332</v>
      </c>
      <c r="B7" s="9" t="n">
        <f aca="false">SUMIFS(IN_Contrib!$Z$4:$Z$2000,IN_Contrib!$A$4:$A$2000,$A7,IN_Contrib!$B$4:$B$2000,$B$2,IN_Contrib!$C$4:$C$2000,"April")</f>
        <v>0</v>
      </c>
      <c r="C7" s="9" t="n">
        <f aca="false">SUMIFS(IN_Contrib!$Z$4:$Z$2000,IN_Contrib!$A$4:$A$2000,$A7,IN_Contrib!$B$4:$B$2000,$B$2,IN_Contrib!$C$4:$C$2000,"May")</f>
        <v>0</v>
      </c>
      <c r="D7" s="9" t="n">
        <f aca="false">SUMIFS(IN_Contrib!$Z$4:$Z$2000,IN_Contrib!$A$4:$A$2000,$A7,IN_Contrib!$B$4:$B$2000,$B$2,IN_Contrib!$C$4:$C$2000,"June")</f>
        <v>0</v>
      </c>
      <c r="E7" s="9" t="n">
        <f aca="false">SUMIFS(IN_Contrib!$Z$4:$Z$2000,IN_Contrib!$A$4:$A$2000,$A7,IN_Contrib!$B$4:$B$2000,$B$2,IN_Contrib!$C$4:$C$2000,"July")</f>
        <v>0</v>
      </c>
      <c r="F7" s="9" t="n">
        <f aca="false">SUMIFS(IN_Contrib!$Z$4:$Z$2000,IN_Contrib!$A$4:$A$2000,$A7,IN_Contrib!$B$4:$B$2000,$B$2,IN_Contrib!$C$4:$C$2000,"August")</f>
        <v>0</v>
      </c>
      <c r="G7" s="9" t="n">
        <f aca="false">SUMIFS(IN_Contrib!$Z$4:$Z$2000,IN_Contrib!$A$4:$A$2000,$A7,IN_Contrib!$B$4:$B$2000,$B$2,IN_Contrib!$C$4:$C$2000,"September")</f>
        <v>0</v>
      </c>
      <c r="H7" s="9" t="n">
        <f aca="false">SUMIFS(IN_Contrib!$Z$4:$Z$2000,IN_Contrib!$A$4:$A$2000,$A7,IN_Contrib!$B$4:$B$2000,$B$2,IN_Contrib!$C$4:$C$2000,"October")</f>
        <v>0</v>
      </c>
      <c r="I7" s="9" t="n">
        <f aca="false">SUMIFS(IN_Contrib!$Z$4:$Z$2000,IN_Contrib!$A$4:$A$2000,$A7,IN_Contrib!$B$4:$B$2000,$B$2,IN_Contrib!$C$4:$C$2000,"November")</f>
        <v>0</v>
      </c>
      <c r="J7" s="9" t="n">
        <f aca="false">SUMIFS(IN_Contrib!$Z$4:$Z$2000,IN_Contrib!$A$4:$A$2000,$A7,IN_Contrib!$B$4:$B$2000,$B$2,IN_Contrib!$C$4:$C$2000,"December")</f>
        <v>0</v>
      </c>
      <c r="K7" s="9" t="n">
        <f aca="false">SUMIFS(IN_Contrib!$Z$4:$Z$2000,IN_Contrib!$A$4:$A$2000,$A7,IN_Contrib!$B$4:$B$2000,$B$2,IN_Contrib!$C$4:$C$2000,"January")</f>
        <v>0</v>
      </c>
      <c r="L7" s="9" t="n">
        <f aca="false">SUMIFS(IN_Contrib!$Z$4:$Z$2000,IN_Contrib!$A$4:$A$2000,$A7,IN_Contrib!$B$4:$B$2000,$B$2,IN_Contrib!$C$4:$C$2000,"February")</f>
        <v>0</v>
      </c>
      <c r="M7" s="9" t="n">
        <f aca="false">SUMIFS(IN_Contrib!$Z$4:$Z$2000,IN_Contrib!$A$4:$A$2000,$A7,IN_Contrib!$B$4:$B$2000,$B$2,IN_Contrib!$C$4:$C$2000,"March")</f>
        <v>0</v>
      </c>
      <c r="N7" s="9" t="n">
        <f aca="false">SUM(B7:M7)</f>
        <v>0</v>
      </c>
    </row>
    <row r="8" customFormat="false" ht="15" hidden="false" customHeight="false" outlineLevel="0" collapsed="false">
      <c r="A8" s="13" t="s">
        <v>334</v>
      </c>
      <c r="B8" s="9" t="n">
        <f aca="false">SUMIFS(IN_Contrib!$Z$4:$Z$2000,IN_Contrib!$A$4:$A$2000,$A8,IN_Contrib!$B$4:$B$2000,$B$2,IN_Contrib!$C$4:$C$2000,"April")</f>
        <v>0</v>
      </c>
      <c r="C8" s="9" t="n">
        <f aca="false">SUMIFS(IN_Contrib!$Z$4:$Z$2000,IN_Contrib!$A$4:$A$2000,$A8,IN_Contrib!$B$4:$B$2000,$B$2,IN_Contrib!$C$4:$C$2000,"May")</f>
        <v>0</v>
      </c>
      <c r="D8" s="9" t="n">
        <f aca="false">SUMIFS(IN_Contrib!$Z$4:$Z$2000,IN_Contrib!$A$4:$A$2000,$A8,IN_Contrib!$B$4:$B$2000,$B$2,IN_Contrib!$C$4:$C$2000,"June")</f>
        <v>0</v>
      </c>
      <c r="E8" s="9" t="n">
        <f aca="false">SUMIFS(IN_Contrib!$Z$4:$Z$2000,IN_Contrib!$A$4:$A$2000,$A8,IN_Contrib!$B$4:$B$2000,$B$2,IN_Contrib!$C$4:$C$2000,"July")</f>
        <v>0</v>
      </c>
      <c r="F8" s="9" t="n">
        <f aca="false">SUMIFS(IN_Contrib!$Z$4:$Z$2000,IN_Contrib!$A$4:$A$2000,$A8,IN_Contrib!$B$4:$B$2000,$B$2,IN_Contrib!$C$4:$C$2000,"August")</f>
        <v>0</v>
      </c>
      <c r="G8" s="9" t="n">
        <f aca="false">SUMIFS(IN_Contrib!$Z$4:$Z$2000,IN_Contrib!$A$4:$A$2000,$A8,IN_Contrib!$B$4:$B$2000,$B$2,IN_Contrib!$C$4:$C$2000,"September")</f>
        <v>0</v>
      </c>
      <c r="H8" s="9" t="n">
        <f aca="false">SUMIFS(IN_Contrib!$Z$4:$Z$2000,IN_Contrib!$A$4:$A$2000,$A8,IN_Contrib!$B$4:$B$2000,$B$2,IN_Contrib!$C$4:$C$2000,"October")</f>
        <v>0</v>
      </c>
      <c r="I8" s="9" t="n">
        <f aca="false">SUMIFS(IN_Contrib!$Z$4:$Z$2000,IN_Contrib!$A$4:$A$2000,$A8,IN_Contrib!$B$4:$B$2000,$B$2,IN_Contrib!$C$4:$C$2000,"November")</f>
        <v>0</v>
      </c>
      <c r="J8" s="9" t="n">
        <f aca="false">SUMIFS(IN_Contrib!$Z$4:$Z$2000,IN_Contrib!$A$4:$A$2000,$A8,IN_Contrib!$B$4:$B$2000,$B$2,IN_Contrib!$C$4:$C$2000,"December")</f>
        <v>0</v>
      </c>
      <c r="K8" s="9" t="n">
        <f aca="false">SUMIFS(IN_Contrib!$Z$4:$Z$2000,IN_Contrib!$A$4:$A$2000,$A8,IN_Contrib!$B$4:$B$2000,$B$2,IN_Contrib!$C$4:$C$2000,"January")</f>
        <v>0</v>
      </c>
      <c r="L8" s="9" t="n">
        <f aca="false">SUMIFS(IN_Contrib!$Z$4:$Z$2000,IN_Contrib!$A$4:$A$2000,$A8,IN_Contrib!$B$4:$B$2000,$B$2,IN_Contrib!$C$4:$C$2000,"February")</f>
        <v>0</v>
      </c>
      <c r="M8" s="9" t="n">
        <f aca="false">SUMIFS(IN_Contrib!$Z$4:$Z$2000,IN_Contrib!$A$4:$A$2000,$A8,IN_Contrib!$B$4:$B$2000,$B$2,IN_Contrib!$C$4:$C$2000,"March")</f>
        <v>0</v>
      </c>
      <c r="N8" s="9" t="n">
        <f aca="false">SUM(B8:M8)</f>
        <v>0</v>
      </c>
    </row>
    <row r="9" customFormat="false" ht="15" hidden="false" customHeight="false" outlineLevel="0" collapsed="false">
      <c r="A9" s="13" t="s">
        <v>336</v>
      </c>
      <c r="B9" s="9" t="n">
        <f aca="false">SUMIFS(IN_Contrib!$Z$4:$Z$2000,IN_Contrib!$A$4:$A$2000,$A9,IN_Contrib!$B$4:$B$2000,$B$2,IN_Contrib!$C$4:$C$2000,"April")</f>
        <v>0</v>
      </c>
      <c r="C9" s="9" t="n">
        <f aca="false">SUMIFS(IN_Contrib!$Z$4:$Z$2000,IN_Contrib!$A$4:$A$2000,$A9,IN_Contrib!$B$4:$B$2000,$B$2,IN_Contrib!$C$4:$C$2000,"May")</f>
        <v>0</v>
      </c>
      <c r="D9" s="9" t="n">
        <f aca="false">SUMIFS(IN_Contrib!$Z$4:$Z$2000,IN_Contrib!$A$4:$A$2000,$A9,IN_Contrib!$B$4:$B$2000,$B$2,IN_Contrib!$C$4:$C$2000,"June")</f>
        <v>0</v>
      </c>
      <c r="E9" s="9" t="n">
        <f aca="false">SUMIFS(IN_Contrib!$Z$4:$Z$2000,IN_Contrib!$A$4:$A$2000,$A9,IN_Contrib!$B$4:$B$2000,$B$2,IN_Contrib!$C$4:$C$2000,"July")</f>
        <v>0</v>
      </c>
      <c r="F9" s="9" t="n">
        <f aca="false">SUMIFS(IN_Contrib!$Z$4:$Z$2000,IN_Contrib!$A$4:$A$2000,$A9,IN_Contrib!$B$4:$B$2000,$B$2,IN_Contrib!$C$4:$C$2000,"August")</f>
        <v>0</v>
      </c>
      <c r="G9" s="9" t="n">
        <f aca="false">SUMIFS(IN_Contrib!$Z$4:$Z$2000,IN_Contrib!$A$4:$A$2000,$A9,IN_Contrib!$B$4:$B$2000,$B$2,IN_Contrib!$C$4:$C$2000,"September")</f>
        <v>0</v>
      </c>
      <c r="H9" s="9" t="n">
        <f aca="false">SUMIFS(IN_Contrib!$Z$4:$Z$2000,IN_Contrib!$A$4:$A$2000,$A9,IN_Contrib!$B$4:$B$2000,$B$2,IN_Contrib!$C$4:$C$2000,"October")</f>
        <v>0</v>
      </c>
      <c r="I9" s="9" t="n">
        <f aca="false">SUMIFS(IN_Contrib!$Z$4:$Z$2000,IN_Contrib!$A$4:$A$2000,$A9,IN_Contrib!$B$4:$B$2000,$B$2,IN_Contrib!$C$4:$C$2000,"November")</f>
        <v>0</v>
      </c>
      <c r="J9" s="9" t="n">
        <f aca="false">SUMIFS(IN_Contrib!$Z$4:$Z$2000,IN_Contrib!$A$4:$A$2000,$A9,IN_Contrib!$B$4:$B$2000,$B$2,IN_Contrib!$C$4:$C$2000,"December")</f>
        <v>0</v>
      </c>
      <c r="K9" s="9" t="n">
        <f aca="false">SUMIFS(IN_Contrib!$Z$4:$Z$2000,IN_Contrib!$A$4:$A$2000,$A9,IN_Contrib!$B$4:$B$2000,$B$2,IN_Contrib!$C$4:$C$2000,"January")</f>
        <v>0</v>
      </c>
      <c r="L9" s="9" t="n">
        <f aca="false">SUMIFS(IN_Contrib!$Z$4:$Z$2000,IN_Contrib!$A$4:$A$2000,$A9,IN_Contrib!$B$4:$B$2000,$B$2,IN_Contrib!$C$4:$C$2000,"February")</f>
        <v>0</v>
      </c>
      <c r="M9" s="9" t="n">
        <f aca="false">SUMIFS(IN_Contrib!$Z$4:$Z$2000,IN_Contrib!$A$4:$A$2000,$A9,IN_Contrib!$B$4:$B$2000,$B$2,IN_Contrib!$C$4:$C$2000,"March")</f>
        <v>0</v>
      </c>
      <c r="N9" s="9" t="n">
        <f aca="false">SUM(B9:M9)</f>
        <v>0</v>
      </c>
    </row>
    <row r="10" customFormat="false" ht="15" hidden="false" customHeight="false" outlineLevel="0" collapsed="false">
      <c r="A10" s="13" t="s">
        <v>338</v>
      </c>
      <c r="B10" s="9" t="n">
        <f aca="false">SUMIFS(IN_Contrib!$Z$4:$Z$2000,IN_Contrib!$A$4:$A$2000,$A10,IN_Contrib!$B$4:$B$2000,$B$2,IN_Contrib!$C$4:$C$2000,"April")</f>
        <v>0</v>
      </c>
      <c r="C10" s="9" t="n">
        <f aca="false">SUMIFS(IN_Contrib!$Z$4:$Z$2000,IN_Contrib!$A$4:$A$2000,$A10,IN_Contrib!$B$4:$B$2000,$B$2,IN_Contrib!$C$4:$C$2000,"May")</f>
        <v>0</v>
      </c>
      <c r="D10" s="9" t="n">
        <f aca="false">SUMIFS(IN_Contrib!$Z$4:$Z$2000,IN_Contrib!$A$4:$A$2000,$A10,IN_Contrib!$B$4:$B$2000,$B$2,IN_Contrib!$C$4:$C$2000,"June")</f>
        <v>0</v>
      </c>
      <c r="E10" s="9" t="n">
        <f aca="false">SUMIFS(IN_Contrib!$Z$4:$Z$2000,IN_Contrib!$A$4:$A$2000,$A10,IN_Contrib!$B$4:$B$2000,$B$2,IN_Contrib!$C$4:$C$2000,"July")</f>
        <v>0</v>
      </c>
      <c r="F10" s="9" t="n">
        <f aca="false">SUMIFS(IN_Contrib!$Z$4:$Z$2000,IN_Contrib!$A$4:$A$2000,$A10,IN_Contrib!$B$4:$B$2000,$B$2,IN_Contrib!$C$4:$C$2000,"August")</f>
        <v>0</v>
      </c>
      <c r="G10" s="9" t="n">
        <f aca="false">SUMIFS(IN_Contrib!$Z$4:$Z$2000,IN_Contrib!$A$4:$A$2000,$A10,IN_Contrib!$B$4:$B$2000,$B$2,IN_Contrib!$C$4:$C$2000,"September")</f>
        <v>0</v>
      </c>
      <c r="H10" s="9" t="n">
        <f aca="false">SUMIFS(IN_Contrib!$Z$4:$Z$2000,IN_Contrib!$A$4:$A$2000,$A10,IN_Contrib!$B$4:$B$2000,$B$2,IN_Contrib!$C$4:$C$2000,"October")</f>
        <v>0</v>
      </c>
      <c r="I10" s="9" t="n">
        <f aca="false">SUMIFS(IN_Contrib!$Z$4:$Z$2000,IN_Contrib!$A$4:$A$2000,$A10,IN_Contrib!$B$4:$B$2000,$B$2,IN_Contrib!$C$4:$C$2000,"November")</f>
        <v>0</v>
      </c>
      <c r="J10" s="9" t="n">
        <f aca="false">SUMIFS(IN_Contrib!$Z$4:$Z$2000,IN_Contrib!$A$4:$A$2000,$A10,IN_Contrib!$B$4:$B$2000,$B$2,IN_Contrib!$C$4:$C$2000,"December")</f>
        <v>0</v>
      </c>
      <c r="K10" s="9" t="n">
        <f aca="false">SUMIFS(IN_Contrib!$Z$4:$Z$2000,IN_Contrib!$A$4:$A$2000,$A10,IN_Contrib!$B$4:$B$2000,$B$2,IN_Contrib!$C$4:$C$2000,"January")</f>
        <v>0</v>
      </c>
      <c r="L10" s="9" t="n">
        <f aca="false">SUMIFS(IN_Contrib!$Z$4:$Z$2000,IN_Contrib!$A$4:$A$2000,$A10,IN_Contrib!$B$4:$B$2000,$B$2,IN_Contrib!$C$4:$C$2000,"February")</f>
        <v>0</v>
      </c>
      <c r="M10" s="9" t="n">
        <f aca="false">SUMIFS(IN_Contrib!$Z$4:$Z$2000,IN_Contrib!$A$4:$A$2000,$A10,IN_Contrib!$B$4:$B$2000,$B$2,IN_Contrib!$C$4:$C$2000,"March")</f>
        <v>0</v>
      </c>
      <c r="N10" s="9" t="n">
        <f aca="false">SUM(B10:M10)</f>
        <v>0</v>
      </c>
    </row>
    <row r="11" customFormat="false" ht="15" hidden="false" customHeight="false" outlineLevel="0" collapsed="false">
      <c r="A11" s="13" t="s">
        <v>340</v>
      </c>
      <c r="B11" s="9" t="n">
        <f aca="false">SUMIFS(IN_Contrib!$Z$4:$Z$2000,IN_Contrib!$A$4:$A$2000,$A11,IN_Contrib!$B$4:$B$2000,$B$2,IN_Contrib!$C$4:$C$2000,"April")</f>
        <v>0</v>
      </c>
      <c r="C11" s="9" t="n">
        <f aca="false">SUMIFS(IN_Contrib!$Z$4:$Z$2000,IN_Contrib!$A$4:$A$2000,$A11,IN_Contrib!$B$4:$B$2000,$B$2,IN_Contrib!$C$4:$C$2000,"May")</f>
        <v>0</v>
      </c>
      <c r="D11" s="9" t="n">
        <f aca="false">SUMIFS(IN_Contrib!$Z$4:$Z$2000,IN_Contrib!$A$4:$A$2000,$A11,IN_Contrib!$B$4:$B$2000,$B$2,IN_Contrib!$C$4:$C$2000,"June")</f>
        <v>0</v>
      </c>
      <c r="E11" s="9" t="n">
        <f aca="false">SUMIFS(IN_Contrib!$Z$4:$Z$2000,IN_Contrib!$A$4:$A$2000,$A11,IN_Contrib!$B$4:$B$2000,$B$2,IN_Contrib!$C$4:$C$2000,"July")</f>
        <v>0</v>
      </c>
      <c r="F11" s="9" t="n">
        <f aca="false">SUMIFS(IN_Contrib!$Z$4:$Z$2000,IN_Contrib!$A$4:$A$2000,$A11,IN_Contrib!$B$4:$B$2000,$B$2,IN_Contrib!$C$4:$C$2000,"August")</f>
        <v>0</v>
      </c>
      <c r="G11" s="9" t="n">
        <f aca="false">SUMIFS(IN_Contrib!$Z$4:$Z$2000,IN_Contrib!$A$4:$A$2000,$A11,IN_Contrib!$B$4:$B$2000,$B$2,IN_Contrib!$C$4:$C$2000,"September")</f>
        <v>0</v>
      </c>
      <c r="H11" s="9" t="n">
        <f aca="false">SUMIFS(IN_Contrib!$Z$4:$Z$2000,IN_Contrib!$A$4:$A$2000,$A11,IN_Contrib!$B$4:$B$2000,$B$2,IN_Contrib!$C$4:$C$2000,"October")</f>
        <v>0</v>
      </c>
      <c r="I11" s="9" t="n">
        <f aca="false">SUMIFS(IN_Contrib!$Z$4:$Z$2000,IN_Contrib!$A$4:$A$2000,$A11,IN_Contrib!$B$4:$B$2000,$B$2,IN_Contrib!$C$4:$C$2000,"November")</f>
        <v>0</v>
      </c>
      <c r="J11" s="9" t="n">
        <f aca="false">SUMIFS(IN_Contrib!$Z$4:$Z$2000,IN_Contrib!$A$4:$A$2000,$A11,IN_Contrib!$B$4:$B$2000,$B$2,IN_Contrib!$C$4:$C$2000,"December")</f>
        <v>0</v>
      </c>
      <c r="K11" s="9" t="n">
        <f aca="false">SUMIFS(IN_Contrib!$Z$4:$Z$2000,IN_Contrib!$A$4:$A$2000,$A11,IN_Contrib!$B$4:$B$2000,$B$2,IN_Contrib!$C$4:$C$2000,"January")</f>
        <v>0</v>
      </c>
      <c r="L11" s="9" t="n">
        <f aca="false">SUMIFS(IN_Contrib!$Z$4:$Z$2000,IN_Contrib!$A$4:$A$2000,$A11,IN_Contrib!$B$4:$B$2000,$B$2,IN_Contrib!$C$4:$C$2000,"February")</f>
        <v>0</v>
      </c>
      <c r="M11" s="9" t="n">
        <f aca="false">SUMIFS(IN_Contrib!$Z$4:$Z$2000,IN_Contrib!$A$4:$A$2000,$A11,IN_Contrib!$B$4:$B$2000,$B$2,IN_Contrib!$C$4:$C$2000,"March")</f>
        <v>0</v>
      </c>
      <c r="N11" s="9" t="n">
        <f aca="false">SUM(B11:M11)</f>
        <v>0</v>
      </c>
    </row>
    <row r="12" customFormat="false" ht="15" hidden="false" customHeight="false" outlineLevel="0" collapsed="false">
      <c r="A12" s="13" t="s">
        <v>342</v>
      </c>
      <c r="B12" s="9" t="n">
        <f aca="false">SUMIFS(IN_Contrib!$Z$4:$Z$2000,IN_Contrib!$A$4:$A$2000,$A12,IN_Contrib!$B$4:$B$2000,$B$2,IN_Contrib!$C$4:$C$2000,"April")</f>
        <v>0</v>
      </c>
      <c r="C12" s="9" t="n">
        <f aca="false">SUMIFS(IN_Contrib!$Z$4:$Z$2000,IN_Contrib!$A$4:$A$2000,$A12,IN_Contrib!$B$4:$B$2000,$B$2,IN_Contrib!$C$4:$C$2000,"May")</f>
        <v>0</v>
      </c>
      <c r="D12" s="9" t="n">
        <f aca="false">SUMIFS(IN_Contrib!$Z$4:$Z$2000,IN_Contrib!$A$4:$A$2000,$A12,IN_Contrib!$B$4:$B$2000,$B$2,IN_Contrib!$C$4:$C$2000,"June")</f>
        <v>0</v>
      </c>
      <c r="E12" s="9" t="n">
        <f aca="false">SUMIFS(IN_Contrib!$Z$4:$Z$2000,IN_Contrib!$A$4:$A$2000,$A12,IN_Contrib!$B$4:$B$2000,$B$2,IN_Contrib!$C$4:$C$2000,"July")</f>
        <v>0</v>
      </c>
      <c r="F12" s="9" t="n">
        <f aca="false">SUMIFS(IN_Contrib!$Z$4:$Z$2000,IN_Contrib!$A$4:$A$2000,$A12,IN_Contrib!$B$4:$B$2000,$B$2,IN_Contrib!$C$4:$C$2000,"August")</f>
        <v>0</v>
      </c>
      <c r="G12" s="9" t="n">
        <f aca="false">SUMIFS(IN_Contrib!$Z$4:$Z$2000,IN_Contrib!$A$4:$A$2000,$A12,IN_Contrib!$B$4:$B$2000,$B$2,IN_Contrib!$C$4:$C$2000,"September")</f>
        <v>0</v>
      </c>
      <c r="H12" s="9" t="n">
        <f aca="false">SUMIFS(IN_Contrib!$Z$4:$Z$2000,IN_Contrib!$A$4:$A$2000,$A12,IN_Contrib!$B$4:$B$2000,$B$2,IN_Contrib!$C$4:$C$2000,"October")</f>
        <v>0</v>
      </c>
      <c r="I12" s="9" t="n">
        <f aca="false">SUMIFS(IN_Contrib!$Z$4:$Z$2000,IN_Contrib!$A$4:$A$2000,$A12,IN_Contrib!$B$4:$B$2000,$B$2,IN_Contrib!$C$4:$C$2000,"November")</f>
        <v>0</v>
      </c>
      <c r="J12" s="9" t="n">
        <f aca="false">SUMIFS(IN_Contrib!$Z$4:$Z$2000,IN_Contrib!$A$4:$A$2000,$A12,IN_Contrib!$B$4:$B$2000,$B$2,IN_Contrib!$C$4:$C$2000,"December")</f>
        <v>0</v>
      </c>
      <c r="K12" s="9" t="n">
        <f aca="false">SUMIFS(IN_Contrib!$Z$4:$Z$2000,IN_Contrib!$A$4:$A$2000,$A12,IN_Contrib!$B$4:$B$2000,$B$2,IN_Contrib!$C$4:$C$2000,"January")</f>
        <v>0</v>
      </c>
      <c r="L12" s="9" t="n">
        <f aca="false">SUMIFS(IN_Contrib!$Z$4:$Z$2000,IN_Contrib!$A$4:$A$2000,$A12,IN_Contrib!$B$4:$B$2000,$B$2,IN_Contrib!$C$4:$C$2000,"February")</f>
        <v>0</v>
      </c>
      <c r="M12" s="9" t="n">
        <f aca="false">SUMIFS(IN_Contrib!$Z$4:$Z$2000,IN_Contrib!$A$4:$A$2000,$A12,IN_Contrib!$B$4:$B$2000,$B$2,IN_Contrib!$C$4:$C$2000,"March")</f>
        <v>0</v>
      </c>
      <c r="N12" s="9" t="n">
        <f aca="false">SUM(B12:M12)</f>
        <v>0</v>
      </c>
    </row>
    <row r="13" customFormat="false" ht="15" hidden="false" customHeight="false" outlineLevel="0" collapsed="false">
      <c r="A13" s="13" t="s">
        <v>346</v>
      </c>
      <c r="B13" s="9" t="n">
        <f aca="false">SUMIFS(IN_Contrib!$Z$4:$Z$2000,IN_Contrib!$A$4:$A$2000,$A13,IN_Contrib!$B$4:$B$2000,$B$2,IN_Contrib!$C$4:$C$2000,"April")</f>
        <v>0</v>
      </c>
      <c r="C13" s="9" t="n">
        <f aca="false">SUMIFS(IN_Contrib!$Z$4:$Z$2000,IN_Contrib!$A$4:$A$2000,$A13,IN_Contrib!$B$4:$B$2000,$B$2,IN_Contrib!$C$4:$C$2000,"May")</f>
        <v>0</v>
      </c>
      <c r="D13" s="9" t="n">
        <f aca="false">SUMIFS(IN_Contrib!$Z$4:$Z$2000,IN_Contrib!$A$4:$A$2000,$A13,IN_Contrib!$B$4:$B$2000,$B$2,IN_Contrib!$C$4:$C$2000,"June")</f>
        <v>0</v>
      </c>
      <c r="E13" s="9" t="n">
        <f aca="false">SUMIFS(IN_Contrib!$Z$4:$Z$2000,IN_Contrib!$A$4:$A$2000,$A13,IN_Contrib!$B$4:$B$2000,$B$2,IN_Contrib!$C$4:$C$2000,"July")</f>
        <v>0</v>
      </c>
      <c r="F13" s="9" t="n">
        <f aca="false">SUMIFS(IN_Contrib!$Z$4:$Z$2000,IN_Contrib!$A$4:$A$2000,$A13,IN_Contrib!$B$4:$B$2000,$B$2,IN_Contrib!$C$4:$C$2000,"August")</f>
        <v>0</v>
      </c>
      <c r="G13" s="9" t="n">
        <f aca="false">SUMIFS(IN_Contrib!$Z$4:$Z$2000,IN_Contrib!$A$4:$A$2000,$A13,IN_Contrib!$B$4:$B$2000,$B$2,IN_Contrib!$C$4:$C$2000,"September")</f>
        <v>0</v>
      </c>
      <c r="H13" s="9" t="n">
        <f aca="false">SUMIFS(IN_Contrib!$Z$4:$Z$2000,IN_Contrib!$A$4:$A$2000,$A13,IN_Contrib!$B$4:$B$2000,$B$2,IN_Contrib!$C$4:$C$2000,"October")</f>
        <v>0</v>
      </c>
      <c r="I13" s="9" t="n">
        <f aca="false">SUMIFS(IN_Contrib!$Z$4:$Z$2000,IN_Contrib!$A$4:$A$2000,$A13,IN_Contrib!$B$4:$B$2000,$B$2,IN_Contrib!$C$4:$C$2000,"November")</f>
        <v>0</v>
      </c>
      <c r="J13" s="9" t="n">
        <f aca="false">SUMIFS(IN_Contrib!$Z$4:$Z$2000,IN_Contrib!$A$4:$A$2000,$A13,IN_Contrib!$B$4:$B$2000,$B$2,IN_Contrib!$C$4:$C$2000,"December")</f>
        <v>0</v>
      </c>
      <c r="K13" s="9" t="n">
        <f aca="false">SUMIFS(IN_Contrib!$Z$4:$Z$2000,IN_Contrib!$A$4:$A$2000,$A13,IN_Contrib!$B$4:$B$2000,$B$2,IN_Contrib!$C$4:$C$2000,"January")</f>
        <v>0</v>
      </c>
      <c r="L13" s="9" t="n">
        <f aca="false">SUMIFS(IN_Contrib!$Z$4:$Z$2000,IN_Contrib!$A$4:$A$2000,$A13,IN_Contrib!$B$4:$B$2000,$B$2,IN_Contrib!$C$4:$C$2000,"February")</f>
        <v>0</v>
      </c>
      <c r="M13" s="9" t="n">
        <f aca="false">SUMIFS(IN_Contrib!$Z$4:$Z$2000,IN_Contrib!$A$4:$A$2000,$A13,IN_Contrib!$B$4:$B$2000,$B$2,IN_Contrib!$C$4:$C$2000,"March")</f>
        <v>0</v>
      </c>
      <c r="N13" s="9" t="n">
        <f aca="false">SUM(B13:M13)</f>
        <v>0</v>
      </c>
    </row>
    <row r="14" customFormat="false" ht="15" hidden="false" customHeight="false" outlineLevel="0" collapsed="false">
      <c r="A14" s="13" t="s">
        <v>351</v>
      </c>
      <c r="B14" s="9" t="n">
        <f aca="false">SUMIFS(IN_Contrib!$Z$4:$Z$2000,IN_Contrib!$A$4:$A$2000,$A14,IN_Contrib!$B$4:$B$2000,$B$2,IN_Contrib!$C$4:$C$2000,"April")</f>
        <v>0</v>
      </c>
      <c r="C14" s="9" t="n">
        <f aca="false">SUMIFS(IN_Contrib!$Z$4:$Z$2000,IN_Contrib!$A$4:$A$2000,$A14,IN_Contrib!$B$4:$B$2000,$B$2,IN_Contrib!$C$4:$C$2000,"May")</f>
        <v>0</v>
      </c>
      <c r="D14" s="9" t="n">
        <f aca="false">SUMIFS(IN_Contrib!$Z$4:$Z$2000,IN_Contrib!$A$4:$A$2000,$A14,IN_Contrib!$B$4:$B$2000,$B$2,IN_Contrib!$C$4:$C$2000,"June")</f>
        <v>0</v>
      </c>
      <c r="E14" s="9" t="n">
        <f aca="false">SUMIFS(IN_Contrib!$Z$4:$Z$2000,IN_Contrib!$A$4:$A$2000,$A14,IN_Contrib!$B$4:$B$2000,$B$2,IN_Contrib!$C$4:$C$2000,"July")</f>
        <v>0</v>
      </c>
      <c r="F14" s="9" t="n">
        <f aca="false">SUMIFS(IN_Contrib!$Z$4:$Z$2000,IN_Contrib!$A$4:$A$2000,$A14,IN_Contrib!$B$4:$B$2000,$B$2,IN_Contrib!$C$4:$C$2000,"August")</f>
        <v>0</v>
      </c>
      <c r="G14" s="9" t="n">
        <f aca="false">SUMIFS(IN_Contrib!$Z$4:$Z$2000,IN_Contrib!$A$4:$A$2000,$A14,IN_Contrib!$B$4:$B$2000,$B$2,IN_Contrib!$C$4:$C$2000,"September")</f>
        <v>0</v>
      </c>
      <c r="H14" s="9" t="n">
        <f aca="false">SUMIFS(IN_Contrib!$Z$4:$Z$2000,IN_Contrib!$A$4:$A$2000,$A14,IN_Contrib!$B$4:$B$2000,$B$2,IN_Contrib!$C$4:$C$2000,"October")</f>
        <v>0</v>
      </c>
      <c r="I14" s="9" t="n">
        <f aca="false">SUMIFS(IN_Contrib!$Z$4:$Z$2000,IN_Contrib!$A$4:$A$2000,$A14,IN_Contrib!$B$4:$B$2000,$B$2,IN_Contrib!$C$4:$C$2000,"November")</f>
        <v>0</v>
      </c>
      <c r="J14" s="9" t="n">
        <f aca="false">SUMIFS(IN_Contrib!$Z$4:$Z$2000,IN_Contrib!$A$4:$A$2000,$A14,IN_Contrib!$B$4:$B$2000,$B$2,IN_Contrib!$C$4:$C$2000,"December")</f>
        <v>0</v>
      </c>
      <c r="K14" s="9" t="n">
        <f aca="false">SUMIFS(IN_Contrib!$Z$4:$Z$2000,IN_Contrib!$A$4:$A$2000,$A14,IN_Contrib!$B$4:$B$2000,$B$2,IN_Contrib!$C$4:$C$2000,"January")</f>
        <v>0</v>
      </c>
      <c r="L14" s="9" t="n">
        <f aca="false">SUMIFS(IN_Contrib!$Z$4:$Z$2000,IN_Contrib!$A$4:$A$2000,$A14,IN_Contrib!$B$4:$B$2000,$B$2,IN_Contrib!$C$4:$C$2000,"February")</f>
        <v>0</v>
      </c>
      <c r="M14" s="9" t="n">
        <f aca="false">SUMIFS(IN_Contrib!$Z$4:$Z$2000,IN_Contrib!$A$4:$A$2000,$A14,IN_Contrib!$B$4:$B$2000,$B$2,IN_Contrib!$C$4:$C$2000,"March")</f>
        <v>0</v>
      </c>
      <c r="N14" s="9" t="n">
        <f aca="false">SUM(B14:M14)</f>
        <v>0</v>
      </c>
    </row>
    <row r="15" customFormat="false" ht="15" hidden="false" customHeight="false" outlineLevel="0" collapsed="false">
      <c r="A15" s="13" t="s">
        <v>355</v>
      </c>
      <c r="B15" s="9" t="n">
        <f aca="false">SUMIFS(IN_Contrib!$Z$4:$Z$2000,IN_Contrib!$A$4:$A$2000,$A15,IN_Contrib!$B$4:$B$2000,$B$2,IN_Contrib!$C$4:$C$2000,"April")</f>
        <v>0</v>
      </c>
      <c r="C15" s="9" t="n">
        <f aca="false">SUMIFS(IN_Contrib!$Z$4:$Z$2000,IN_Contrib!$A$4:$A$2000,$A15,IN_Contrib!$B$4:$B$2000,$B$2,IN_Contrib!$C$4:$C$2000,"May")</f>
        <v>0.43</v>
      </c>
      <c r="D15" s="9" t="n">
        <f aca="false">SUMIFS(IN_Contrib!$Z$4:$Z$2000,IN_Contrib!$A$4:$A$2000,$A15,IN_Contrib!$B$4:$B$2000,$B$2,IN_Contrib!$C$4:$C$2000,"June")</f>
        <v>0</v>
      </c>
      <c r="E15" s="9" t="n">
        <f aca="false">SUMIFS(IN_Contrib!$Z$4:$Z$2000,IN_Contrib!$A$4:$A$2000,$A15,IN_Contrib!$B$4:$B$2000,$B$2,IN_Contrib!$C$4:$C$2000,"July")</f>
        <v>0</v>
      </c>
      <c r="F15" s="9" t="n">
        <f aca="false">SUMIFS(IN_Contrib!$Z$4:$Z$2000,IN_Contrib!$A$4:$A$2000,$A15,IN_Contrib!$B$4:$B$2000,$B$2,IN_Contrib!$C$4:$C$2000,"August")</f>
        <v>0</v>
      </c>
      <c r="G15" s="9" t="n">
        <f aca="false">SUMIFS(IN_Contrib!$Z$4:$Z$2000,IN_Contrib!$A$4:$A$2000,$A15,IN_Contrib!$B$4:$B$2000,$B$2,IN_Contrib!$C$4:$C$2000,"September")</f>
        <v>0</v>
      </c>
      <c r="H15" s="9" t="n">
        <f aca="false">SUMIFS(IN_Contrib!$Z$4:$Z$2000,IN_Contrib!$A$4:$A$2000,$A15,IN_Contrib!$B$4:$B$2000,$B$2,IN_Contrib!$C$4:$C$2000,"October")</f>
        <v>0</v>
      </c>
      <c r="I15" s="9" t="n">
        <f aca="false">SUMIFS(IN_Contrib!$Z$4:$Z$2000,IN_Contrib!$A$4:$A$2000,$A15,IN_Contrib!$B$4:$B$2000,$B$2,IN_Contrib!$C$4:$C$2000,"November")</f>
        <v>0</v>
      </c>
      <c r="J15" s="9" t="n">
        <f aca="false">SUMIFS(IN_Contrib!$Z$4:$Z$2000,IN_Contrib!$A$4:$A$2000,$A15,IN_Contrib!$B$4:$B$2000,$B$2,IN_Contrib!$C$4:$C$2000,"December")</f>
        <v>0</v>
      </c>
      <c r="K15" s="9" t="n">
        <f aca="false">SUMIFS(IN_Contrib!$Z$4:$Z$2000,IN_Contrib!$A$4:$A$2000,$A15,IN_Contrib!$B$4:$B$2000,$B$2,IN_Contrib!$C$4:$C$2000,"January")</f>
        <v>0</v>
      </c>
      <c r="L15" s="9" t="n">
        <f aca="false">SUMIFS(IN_Contrib!$Z$4:$Z$2000,IN_Contrib!$A$4:$A$2000,$A15,IN_Contrib!$B$4:$B$2000,$B$2,IN_Contrib!$C$4:$C$2000,"February")</f>
        <v>0</v>
      </c>
      <c r="M15" s="9" t="n">
        <f aca="false">SUMIFS(IN_Contrib!$Z$4:$Z$2000,IN_Contrib!$A$4:$A$2000,$A15,IN_Contrib!$B$4:$B$2000,$B$2,IN_Contrib!$C$4:$C$2000,"March")</f>
        <v>0</v>
      </c>
      <c r="N15" s="9" t="n">
        <f aca="false">SUM(B15:M15)</f>
        <v>0.43</v>
      </c>
    </row>
    <row r="16" customFormat="false" ht="15" hidden="false" customHeight="false" outlineLevel="0" collapsed="false">
      <c r="A16" s="13" t="s">
        <v>358</v>
      </c>
      <c r="B16" s="9" t="n">
        <f aca="false">SUMIFS(IN_Contrib!$Z$4:$Z$2000,IN_Contrib!$A$4:$A$2000,$A16,IN_Contrib!$B$4:$B$2000,$B$2,IN_Contrib!$C$4:$C$2000,"April")</f>
        <v>0</v>
      </c>
      <c r="C16" s="9" t="n">
        <f aca="false">SUMIFS(IN_Contrib!$Z$4:$Z$2000,IN_Contrib!$A$4:$A$2000,$A16,IN_Contrib!$B$4:$B$2000,$B$2,IN_Contrib!$C$4:$C$2000,"May")</f>
        <v>0</v>
      </c>
      <c r="D16" s="9" t="n">
        <f aca="false">SUMIFS(IN_Contrib!$Z$4:$Z$2000,IN_Contrib!$A$4:$A$2000,$A16,IN_Contrib!$B$4:$B$2000,$B$2,IN_Contrib!$C$4:$C$2000,"June")</f>
        <v>0</v>
      </c>
      <c r="E16" s="9" t="n">
        <f aca="false">SUMIFS(IN_Contrib!$Z$4:$Z$2000,IN_Contrib!$A$4:$A$2000,$A16,IN_Contrib!$B$4:$B$2000,$B$2,IN_Contrib!$C$4:$C$2000,"July")</f>
        <v>0</v>
      </c>
      <c r="F16" s="9" t="n">
        <f aca="false">SUMIFS(IN_Contrib!$Z$4:$Z$2000,IN_Contrib!$A$4:$A$2000,$A16,IN_Contrib!$B$4:$B$2000,$B$2,IN_Contrib!$C$4:$C$2000,"August")</f>
        <v>0</v>
      </c>
      <c r="G16" s="9" t="n">
        <f aca="false">SUMIFS(IN_Contrib!$Z$4:$Z$2000,IN_Contrib!$A$4:$A$2000,$A16,IN_Contrib!$B$4:$B$2000,$B$2,IN_Contrib!$C$4:$C$2000,"September")</f>
        <v>0</v>
      </c>
      <c r="H16" s="9" t="n">
        <f aca="false">SUMIFS(IN_Contrib!$Z$4:$Z$2000,IN_Contrib!$A$4:$A$2000,$A16,IN_Contrib!$B$4:$B$2000,$B$2,IN_Contrib!$C$4:$C$2000,"October")</f>
        <v>0</v>
      </c>
      <c r="I16" s="9" t="n">
        <f aca="false">SUMIFS(IN_Contrib!$Z$4:$Z$2000,IN_Contrib!$A$4:$A$2000,$A16,IN_Contrib!$B$4:$B$2000,$B$2,IN_Contrib!$C$4:$C$2000,"November")</f>
        <v>0</v>
      </c>
      <c r="J16" s="9" t="n">
        <f aca="false">SUMIFS(IN_Contrib!$Z$4:$Z$2000,IN_Contrib!$A$4:$A$2000,$A16,IN_Contrib!$B$4:$B$2000,$B$2,IN_Contrib!$C$4:$C$2000,"December")</f>
        <v>0</v>
      </c>
      <c r="K16" s="9" t="n">
        <f aca="false">SUMIFS(IN_Contrib!$Z$4:$Z$2000,IN_Contrib!$A$4:$A$2000,$A16,IN_Contrib!$B$4:$B$2000,$B$2,IN_Contrib!$C$4:$C$2000,"January")</f>
        <v>0</v>
      </c>
      <c r="L16" s="9" t="n">
        <f aca="false">SUMIFS(IN_Contrib!$Z$4:$Z$2000,IN_Contrib!$A$4:$A$2000,$A16,IN_Contrib!$B$4:$B$2000,$B$2,IN_Contrib!$C$4:$C$2000,"February")</f>
        <v>0</v>
      </c>
      <c r="M16" s="9" t="n">
        <f aca="false">SUMIFS(IN_Contrib!$Z$4:$Z$2000,IN_Contrib!$A$4:$A$2000,$A16,IN_Contrib!$B$4:$B$2000,$B$2,IN_Contrib!$C$4:$C$2000,"March")</f>
        <v>0</v>
      </c>
      <c r="N16" s="9" t="n">
        <f aca="false">SUM(B16:M16)</f>
        <v>0</v>
      </c>
    </row>
    <row r="17" customFormat="false" ht="15" hidden="false" customHeight="false" outlineLevel="0" collapsed="false">
      <c r="A17" s="13"/>
      <c r="B17" s="9" t="n">
        <f aca="false">SUMIFS(IN_Contrib!$Z$4:$Z$2000,IN_Contrib!$A$4:$A$2000,$A17,IN_Contrib!$B$4:$B$2000,$B$2,IN_Contrib!$C$4:$C$2000,"April")</f>
        <v>0</v>
      </c>
      <c r="C17" s="9" t="n">
        <f aca="false">SUMIFS(IN_Contrib!$Z$4:$Z$2000,IN_Contrib!$A$4:$A$2000,$A17,IN_Contrib!$B$4:$B$2000,$B$2,IN_Contrib!$C$4:$C$2000,"May")</f>
        <v>0</v>
      </c>
      <c r="D17" s="9" t="n">
        <f aca="false">SUMIFS(IN_Contrib!$Z$4:$Z$2000,IN_Contrib!$A$4:$A$2000,$A17,IN_Contrib!$B$4:$B$2000,$B$2,IN_Contrib!$C$4:$C$2000,"June")</f>
        <v>0</v>
      </c>
      <c r="E17" s="9" t="n">
        <f aca="false">SUMIFS(IN_Contrib!$Z$4:$Z$2000,IN_Contrib!$A$4:$A$2000,$A17,IN_Contrib!$B$4:$B$2000,$B$2,IN_Contrib!$C$4:$C$2000,"July")</f>
        <v>0</v>
      </c>
      <c r="F17" s="9" t="n">
        <f aca="false">SUMIFS(IN_Contrib!$Z$4:$Z$2000,IN_Contrib!$A$4:$A$2000,$A17,IN_Contrib!$B$4:$B$2000,$B$2,IN_Contrib!$C$4:$C$2000,"August")</f>
        <v>0</v>
      </c>
      <c r="G17" s="9" t="n">
        <f aca="false">SUMIFS(IN_Contrib!$Z$4:$Z$2000,IN_Contrib!$A$4:$A$2000,$A17,IN_Contrib!$B$4:$B$2000,$B$2,IN_Contrib!$C$4:$C$2000,"September")</f>
        <v>0</v>
      </c>
      <c r="H17" s="9" t="n">
        <f aca="false">SUMIFS(IN_Contrib!$Z$4:$Z$2000,IN_Contrib!$A$4:$A$2000,$A17,IN_Contrib!$B$4:$B$2000,$B$2,IN_Contrib!$C$4:$C$2000,"October")</f>
        <v>0</v>
      </c>
      <c r="I17" s="9" t="n">
        <f aca="false">SUMIFS(IN_Contrib!$Z$4:$Z$2000,IN_Contrib!$A$4:$A$2000,$A17,IN_Contrib!$B$4:$B$2000,$B$2,IN_Contrib!$C$4:$C$2000,"November")</f>
        <v>0</v>
      </c>
      <c r="J17" s="9" t="n">
        <f aca="false">SUMIFS(IN_Contrib!$Z$4:$Z$2000,IN_Contrib!$A$4:$A$2000,$A17,IN_Contrib!$B$4:$B$2000,$B$2,IN_Contrib!$C$4:$C$2000,"December")</f>
        <v>0</v>
      </c>
      <c r="K17" s="9" t="n">
        <f aca="false">SUMIFS(IN_Contrib!$Z$4:$Z$2000,IN_Contrib!$A$4:$A$2000,$A17,IN_Contrib!$B$4:$B$2000,$B$2,IN_Contrib!$C$4:$C$2000,"January")</f>
        <v>0</v>
      </c>
      <c r="L17" s="9" t="n">
        <f aca="false">SUMIFS(IN_Contrib!$Z$4:$Z$2000,IN_Contrib!$A$4:$A$2000,$A17,IN_Contrib!$B$4:$B$2000,$B$2,IN_Contrib!$C$4:$C$2000,"February")</f>
        <v>0</v>
      </c>
      <c r="M17" s="9" t="n">
        <f aca="false">SUMIFS(IN_Contrib!$Z$4:$Z$2000,IN_Contrib!$A$4:$A$2000,$A17,IN_Contrib!$B$4:$B$2000,$B$2,IN_Contrib!$C$4:$C$2000,"March")</f>
        <v>0</v>
      </c>
      <c r="N17" s="9" t="n">
        <f aca="false">SUM(B17:M17)</f>
        <v>0</v>
      </c>
    </row>
    <row r="18" customFormat="false" ht="15" hidden="false" customHeight="false" outlineLevel="0" collapsed="false">
      <c r="A18" s="13" t="s">
        <v>364</v>
      </c>
      <c r="B18" s="9" t="n">
        <f aca="false">SUMIFS(IN_Contrib!$Z$4:$Z$2000,IN_Contrib!$A$4:$A$2000,$A18,IN_Contrib!$B$4:$B$2000,$B$2,IN_Contrib!$C$4:$C$2000,"April")</f>
        <v>0</v>
      </c>
      <c r="C18" s="9" t="n">
        <f aca="false">SUMIFS(IN_Contrib!$Z$4:$Z$2000,IN_Contrib!$A$4:$A$2000,$A18,IN_Contrib!$B$4:$B$2000,$B$2,IN_Contrib!$C$4:$C$2000,"May")</f>
        <v>0</v>
      </c>
      <c r="D18" s="9" t="n">
        <f aca="false">SUMIFS(IN_Contrib!$Z$4:$Z$2000,IN_Contrib!$A$4:$A$2000,$A18,IN_Contrib!$B$4:$B$2000,$B$2,IN_Contrib!$C$4:$C$2000,"June")</f>
        <v>0</v>
      </c>
      <c r="E18" s="9" t="n">
        <f aca="false">SUMIFS(IN_Contrib!$Z$4:$Z$2000,IN_Contrib!$A$4:$A$2000,$A18,IN_Contrib!$B$4:$B$2000,$B$2,IN_Contrib!$C$4:$C$2000,"July")</f>
        <v>0</v>
      </c>
      <c r="F18" s="9" t="n">
        <f aca="false">SUMIFS(IN_Contrib!$Z$4:$Z$2000,IN_Contrib!$A$4:$A$2000,$A18,IN_Contrib!$B$4:$B$2000,$B$2,IN_Contrib!$C$4:$C$2000,"August")</f>
        <v>0</v>
      </c>
      <c r="G18" s="9" t="n">
        <f aca="false">SUMIFS(IN_Contrib!$Z$4:$Z$2000,IN_Contrib!$A$4:$A$2000,$A18,IN_Contrib!$B$4:$B$2000,$B$2,IN_Contrib!$C$4:$C$2000,"September")</f>
        <v>0</v>
      </c>
      <c r="H18" s="9" t="n">
        <f aca="false">SUMIFS(IN_Contrib!$Z$4:$Z$2000,IN_Contrib!$A$4:$A$2000,$A18,IN_Contrib!$B$4:$B$2000,$B$2,IN_Contrib!$C$4:$C$2000,"October")</f>
        <v>0</v>
      </c>
      <c r="I18" s="9" t="n">
        <f aca="false">SUMIFS(IN_Contrib!$Z$4:$Z$2000,IN_Contrib!$A$4:$A$2000,$A18,IN_Contrib!$B$4:$B$2000,$B$2,IN_Contrib!$C$4:$C$2000,"November")</f>
        <v>0</v>
      </c>
      <c r="J18" s="9" t="n">
        <f aca="false">SUMIFS(IN_Contrib!$Z$4:$Z$2000,IN_Contrib!$A$4:$A$2000,$A18,IN_Contrib!$B$4:$B$2000,$B$2,IN_Contrib!$C$4:$C$2000,"December")</f>
        <v>0</v>
      </c>
      <c r="K18" s="9" t="n">
        <f aca="false">SUMIFS(IN_Contrib!$Z$4:$Z$2000,IN_Contrib!$A$4:$A$2000,$A18,IN_Contrib!$B$4:$B$2000,$B$2,IN_Contrib!$C$4:$C$2000,"January")</f>
        <v>0</v>
      </c>
      <c r="L18" s="9" t="n">
        <f aca="false">SUMIFS(IN_Contrib!$Z$4:$Z$2000,IN_Contrib!$A$4:$A$2000,$A18,IN_Contrib!$B$4:$B$2000,$B$2,IN_Contrib!$C$4:$C$2000,"February")</f>
        <v>0</v>
      </c>
      <c r="M18" s="9" t="n">
        <f aca="false">SUMIFS(IN_Contrib!$Z$4:$Z$2000,IN_Contrib!$A$4:$A$2000,$A18,IN_Contrib!$B$4:$B$2000,$B$2,IN_Contrib!$C$4:$C$2000,"March")</f>
        <v>0</v>
      </c>
      <c r="N18" s="9" t="n">
        <f aca="false">SUM(B18:M18)</f>
        <v>0</v>
      </c>
    </row>
    <row r="19" customFormat="false" ht="15" hidden="false" customHeight="false" outlineLevel="0" collapsed="false">
      <c r="A19" s="4" t="s">
        <v>52</v>
      </c>
      <c r="B19" s="7" t="n">
        <f aca="false">SUM(B5:B18)</f>
        <v>20.96</v>
      </c>
      <c r="C19" s="7" t="n">
        <f aca="false">SUM(C5:C18)</f>
        <v>47.26</v>
      </c>
      <c r="D19" s="7" t="n">
        <f aca="false">SUM(D5:D18)</f>
        <v>55.89</v>
      </c>
      <c r="E19" s="7" t="n">
        <f aca="false">SUM(E5:E18)</f>
        <v>57.05</v>
      </c>
      <c r="F19" s="7" t="n">
        <f aca="false">SUM(F5:F18)</f>
        <v>47.98</v>
      </c>
      <c r="G19" s="7" t="n">
        <f aca="false">SUM(G5:G18)</f>
        <v>72.02</v>
      </c>
      <c r="H19" s="7" t="n">
        <f aca="false">SUM(H5:H18)</f>
        <v>0</v>
      </c>
      <c r="I19" s="7" t="n">
        <f aca="false">SUM(I5:I18)</f>
        <v>0</v>
      </c>
      <c r="J19" s="7" t="n">
        <f aca="false">SUM(J5:J18)</f>
        <v>0</v>
      </c>
      <c r="K19" s="7" t="n">
        <f aca="false">SUM(K5:K18)</f>
        <v>0</v>
      </c>
      <c r="L19" s="7" t="n">
        <f aca="false">SUM(L5:L18)</f>
        <v>0</v>
      </c>
      <c r="M19" s="7" t="n">
        <f aca="false">SUM(M5:M18)</f>
        <v>0</v>
      </c>
      <c r="N19" s="7" t="n">
        <f aca="false">SUM(N5:N18)</f>
        <v>301.16</v>
      </c>
    </row>
    <row r="21" customFormat="false" ht="15" hidden="false" customHeight="false" outlineLevel="0" collapsed="false">
      <c r="A21" s="5" t="s">
        <v>404</v>
      </c>
      <c r="B21" s="5" t="s">
        <v>393</v>
      </c>
      <c r="C21" s="5" t="s">
        <v>226</v>
      </c>
      <c r="D21" s="5" t="s">
        <v>394</v>
      </c>
      <c r="E21" s="5" t="s">
        <v>395</v>
      </c>
      <c r="F21" s="5" t="s">
        <v>396</v>
      </c>
      <c r="G21" s="5" t="s">
        <v>397</v>
      </c>
      <c r="H21" s="5" t="s">
        <v>398</v>
      </c>
      <c r="I21" s="5" t="s">
        <v>399</v>
      </c>
      <c r="J21" s="5" t="s">
        <v>400</v>
      </c>
      <c r="K21" s="5" t="s">
        <v>401</v>
      </c>
      <c r="L21" s="5" t="s">
        <v>402</v>
      </c>
      <c r="M21" s="5" t="s">
        <v>403</v>
      </c>
      <c r="N21" s="5" t="s">
        <v>52</v>
      </c>
    </row>
    <row r="22" customFormat="false" ht="15" hidden="false" customHeight="false" outlineLevel="0" collapsed="false">
      <c r="A22" s="0" t="s">
        <v>405</v>
      </c>
      <c r="B22" s="9" t="n">
        <f aca="false">SUMIFS(IN_Contrib!$G$4:$G$2000,IN_Contrib!$B$4:$B$2000,$B$2,IN_Contrib!$C$4:$C$2000,"April")</f>
        <v>39.086</v>
      </c>
      <c r="C22" s="9" t="n">
        <f aca="false">SUMIFS(IN_Contrib!$G$4:$G$2000,IN_Contrib!$B$4:$B$2000,$B$2,IN_Contrib!$C$4:$C$2000,"May")</f>
        <v>91.311</v>
      </c>
      <c r="D22" s="9" t="n">
        <f aca="false">SUMIFS(IN_Contrib!$G$4:$G$2000,IN_Contrib!$B$4:$B$2000,$B$2,IN_Contrib!$C$4:$C$2000,"June")</f>
        <v>92.135</v>
      </c>
      <c r="E22" s="9" t="n">
        <f aca="false">SUMIFS(IN_Contrib!$G$4:$G$2000,IN_Contrib!$B$4:$B$2000,$B$2,IN_Contrib!$C$4:$C$2000,"July")</f>
        <v>106.77</v>
      </c>
      <c r="F22" s="9" t="n">
        <f aca="false">SUMIFS(IN_Contrib!$G$4:$G$2000,IN_Contrib!$B$4:$B$2000,$B$2,IN_Contrib!$C$4:$C$2000,"August")</f>
        <v>85.14</v>
      </c>
      <c r="G22" s="9" t="n">
        <f aca="false">SUMIFS(IN_Contrib!$G$4:$G$2000,IN_Contrib!$B$4:$B$2000,$B$2,IN_Contrib!$C$4:$C$2000,"September")</f>
        <v>113.84</v>
      </c>
      <c r="H22" s="9" t="n">
        <f aca="false">SUMIFS(IN_Contrib!$G$4:$G$2000,IN_Contrib!$B$4:$B$2000,$B$2,IN_Contrib!$C$4:$C$2000,"October")</f>
        <v>0</v>
      </c>
      <c r="I22" s="9" t="n">
        <f aca="false">SUMIFS(IN_Contrib!$G$4:$G$2000,IN_Contrib!$B$4:$B$2000,$B$2,IN_Contrib!$C$4:$C$2000,"November")</f>
        <v>0</v>
      </c>
      <c r="J22" s="9" t="n">
        <f aca="false">SUMIFS(IN_Contrib!$G$4:$G$2000,IN_Contrib!$B$4:$B$2000,$B$2,IN_Contrib!$C$4:$C$2000,"December")</f>
        <v>0</v>
      </c>
      <c r="K22" s="9" t="n">
        <f aca="false">SUMIFS(IN_Contrib!$G$4:$G$2000,IN_Contrib!$B$4:$B$2000,$B$2,IN_Contrib!$C$4:$C$2000,"January")</f>
        <v>0</v>
      </c>
      <c r="L22" s="9" t="n">
        <f aca="false">SUMIFS(IN_Contrib!$G$4:$G$2000,IN_Contrib!$B$4:$B$2000,$B$2,IN_Contrib!$C$4:$C$2000,"February")</f>
        <v>0</v>
      </c>
      <c r="M22" s="9" t="n">
        <f aca="false">SUMIFS(IN_Contrib!$G$4:$G$2000,IN_Contrib!$B$4:$B$2000,$B$2,IN_Contrib!$C$4:$C$2000,"March")</f>
        <v>0</v>
      </c>
      <c r="N22" s="9" t="n">
        <f aca="false">SUM(B22:M22)</f>
        <v>528.282</v>
      </c>
    </row>
    <row r="23" customFormat="false" ht="15" hidden="false" customHeight="false" outlineLevel="0" collapsed="false">
      <c r="A23" s="0" t="s">
        <v>406</v>
      </c>
      <c r="B23" s="9" t="n">
        <f aca="false">SUMIFS(IN_Contrib!$AD$4:$AD$2000,IN_Contrib!$B$4:$B$2000,$B$2,IN_Contrib!$C$4:$C$2000,"April")</f>
        <v>5.478</v>
      </c>
      <c r="C23" s="9" t="n">
        <f aca="false">SUMIFS(IN_Contrib!$AD$4:$AD$2000,IN_Contrib!$B$4:$B$2000,$B$2,IN_Contrib!$C$4:$C$2000,"May")</f>
        <v>4.942</v>
      </c>
      <c r="D23" s="9" t="n">
        <f aca="false">SUMIFS(IN_Contrib!$AD$4:$AD$2000,IN_Contrib!$B$4:$B$2000,$B$2,IN_Contrib!$C$4:$C$2000,"June")</f>
        <v>1.0485</v>
      </c>
      <c r="E23" s="9" t="n">
        <f aca="false">SUMIFS(IN_Contrib!$AD$4:$AD$2000,IN_Contrib!$B$4:$B$2000,$B$2,IN_Contrib!$C$4:$C$2000,"July")</f>
        <v>6.4248</v>
      </c>
      <c r="F23" s="9" t="n">
        <f aca="false">SUMIFS(IN_Contrib!$AD$4:$AD$2000,IN_Contrib!$B$4:$B$2000,$B$2,IN_Contrib!$C$4:$C$2000,"August")</f>
        <v>7.782</v>
      </c>
      <c r="G23" s="9" t="n">
        <f aca="false">SUMIFS(IN_Contrib!$AD$4:$AD$2000,IN_Contrib!$B$4:$B$2000,$B$2,IN_Contrib!$C$4:$C$2000,"September")</f>
        <v>8.51899</v>
      </c>
      <c r="H23" s="9" t="n">
        <f aca="false">SUMIFS(IN_Contrib!$AD$4:$AD$2000,IN_Contrib!$B$4:$B$2000,$B$2,IN_Contrib!$C$4:$C$2000,"October")</f>
        <v>0</v>
      </c>
      <c r="I23" s="9" t="n">
        <f aca="false">SUMIFS(IN_Contrib!$AD$4:$AD$2000,IN_Contrib!$B$4:$B$2000,$B$2,IN_Contrib!$C$4:$C$2000,"November")</f>
        <v>0</v>
      </c>
      <c r="J23" s="9" t="n">
        <f aca="false">SUMIFS(IN_Contrib!$AD$4:$AD$2000,IN_Contrib!$B$4:$B$2000,$B$2,IN_Contrib!$C$4:$C$2000,"December")</f>
        <v>0</v>
      </c>
      <c r="K23" s="9" t="n">
        <f aca="false">SUMIFS(IN_Contrib!$AD$4:$AD$2000,IN_Contrib!$B$4:$B$2000,$B$2,IN_Contrib!$C$4:$C$2000,"January")</f>
        <v>0</v>
      </c>
      <c r="L23" s="9" t="n">
        <f aca="false">SUMIFS(IN_Contrib!$AD$4:$AD$2000,IN_Contrib!$B$4:$B$2000,$B$2,IN_Contrib!$C$4:$C$2000,"February")</f>
        <v>0</v>
      </c>
      <c r="M23" s="9" t="n">
        <f aca="false">SUMIFS(IN_Contrib!$AD$4:$AD$2000,IN_Contrib!$B$4:$B$2000,$B$2,IN_Contrib!$C$4:$C$2000,"March")</f>
        <v>0</v>
      </c>
      <c r="N23" s="9" t="n">
        <f aca="false">SUM(B23:M23)</f>
        <v>34.19429</v>
      </c>
    </row>
    <row r="24" customFormat="false" ht="15" hidden="false" customHeight="false" outlineLevel="0" collapsed="false">
      <c r="A24" s="0" t="s">
        <v>407</v>
      </c>
      <c r="B24" s="9" t="n">
        <f aca="false">SUMIFS(IN_Contrib!$AE$4:$AE$2000,IN_Contrib!$B$4:$B$2000,$B$2,IN_Contrib!$C$4:$C$2000,"April")</f>
        <v>0.186</v>
      </c>
      <c r="C24" s="9" t="n">
        <f aca="false">SUMIFS(IN_Contrib!$AE$4:$AE$2000,IN_Contrib!$B$4:$B$2000,$B$2,IN_Contrib!$C$4:$C$2000,"May")</f>
        <v>1.908</v>
      </c>
      <c r="D24" s="9" t="n">
        <f aca="false">SUMIFS(IN_Contrib!$AE$4:$AE$2000,IN_Contrib!$B$4:$B$2000,$B$2,IN_Contrib!$C$4:$C$2000,"June")</f>
        <v>6.0725</v>
      </c>
      <c r="E24" s="9" t="n">
        <f aca="false">SUMIFS(IN_Contrib!$AE$4:$AE$2000,IN_Contrib!$B$4:$B$2000,$B$2,IN_Contrib!$C$4:$C$2000,"July")</f>
        <v>3.35465</v>
      </c>
      <c r="F24" s="9" t="n">
        <f aca="false">SUMIFS(IN_Contrib!$AE$4:$AE$2000,IN_Contrib!$B$4:$B$2000,$B$2,IN_Contrib!$C$4:$C$2000,"August")</f>
        <v>1.3625</v>
      </c>
      <c r="G24" s="9" t="n">
        <f aca="false">SUMIFS(IN_Contrib!$AE$4:$AE$2000,IN_Contrib!$B$4:$B$2000,$B$2,IN_Contrib!$C$4:$C$2000,"September")</f>
        <v>0.41528</v>
      </c>
      <c r="H24" s="9" t="n">
        <f aca="false">SUMIFS(IN_Contrib!$AE$4:$AE$2000,IN_Contrib!$B$4:$B$2000,$B$2,IN_Contrib!$C$4:$C$2000,"October")</f>
        <v>0</v>
      </c>
      <c r="I24" s="9" t="n">
        <f aca="false">SUMIFS(IN_Contrib!$AE$4:$AE$2000,IN_Contrib!$B$4:$B$2000,$B$2,IN_Contrib!$C$4:$C$2000,"November")</f>
        <v>0</v>
      </c>
      <c r="J24" s="9" t="n">
        <f aca="false">SUMIFS(IN_Contrib!$AE$4:$AE$2000,IN_Contrib!$B$4:$B$2000,$B$2,IN_Contrib!$C$4:$C$2000,"December")</f>
        <v>0</v>
      </c>
      <c r="K24" s="9" t="n">
        <f aca="false">SUMIFS(IN_Contrib!$AE$4:$AE$2000,IN_Contrib!$B$4:$B$2000,$B$2,IN_Contrib!$C$4:$C$2000,"January")</f>
        <v>0</v>
      </c>
      <c r="L24" s="9" t="n">
        <f aca="false">SUMIFS(IN_Contrib!$AE$4:$AE$2000,IN_Contrib!$B$4:$B$2000,$B$2,IN_Contrib!$C$4:$C$2000,"February")</f>
        <v>0</v>
      </c>
      <c r="M24" s="9" t="n">
        <f aca="false">SUMIFS(IN_Contrib!$AE$4:$AE$2000,IN_Contrib!$B$4:$B$2000,$B$2,IN_Contrib!$C$4:$C$2000,"March")</f>
        <v>0</v>
      </c>
      <c r="N24" s="9" t="n">
        <f aca="false">SUM(B24:M24)</f>
        <v>13.29893</v>
      </c>
    </row>
    <row r="25" customFormat="false" ht="15" hidden="false" customHeight="false" outlineLevel="0" collapsed="false">
      <c r="A25" s="0" t="s">
        <v>408</v>
      </c>
      <c r="B25" s="9" t="n">
        <f aca="false">SUMIFS(IN_Contrib!$Z$4:$Z$2000,IN_Contrib!$B$4:$B$2000,$B$2,IN_Contrib!$C$4:$C$2000,"April")</f>
        <v>20.96</v>
      </c>
      <c r="C25" s="9" t="n">
        <f aca="false">SUMIFS(IN_Contrib!$Z$4:$Z$2000,IN_Contrib!$B$4:$B$2000,$B$2,IN_Contrib!$C$4:$C$2000,"May")</f>
        <v>47.26</v>
      </c>
      <c r="D25" s="9" t="n">
        <f aca="false">SUMIFS(IN_Contrib!$Z$4:$Z$2000,IN_Contrib!$B$4:$B$2000,$B$2,IN_Contrib!$C$4:$C$2000,"June")</f>
        <v>55.89</v>
      </c>
      <c r="E25" s="9" t="n">
        <f aca="false">SUMIFS(IN_Contrib!$Z$4:$Z$2000,IN_Contrib!$B$4:$B$2000,$B$2,IN_Contrib!$C$4:$C$2000,"July")</f>
        <v>57.05</v>
      </c>
      <c r="F25" s="9" t="n">
        <f aca="false">SUMIFS(IN_Contrib!$Z$4:$Z$2000,IN_Contrib!$B$4:$B$2000,$B$2,IN_Contrib!$C$4:$C$2000,"August")</f>
        <v>47.98</v>
      </c>
      <c r="G25" s="9" t="n">
        <f aca="false">SUMIFS(IN_Contrib!$Z$4:$Z$2000,IN_Contrib!$B$4:$B$2000,$B$2,IN_Contrib!$C$4:$C$2000,"September")</f>
        <v>72.02</v>
      </c>
      <c r="H25" s="9" t="n">
        <f aca="false">SUMIFS(IN_Contrib!$Z$4:$Z$2000,IN_Contrib!$B$4:$B$2000,$B$2,IN_Contrib!$C$4:$C$2000,"October")</f>
        <v>0</v>
      </c>
      <c r="I25" s="9" t="n">
        <f aca="false">SUMIFS(IN_Contrib!$Z$4:$Z$2000,IN_Contrib!$B$4:$B$2000,$B$2,IN_Contrib!$C$4:$C$2000,"November")</f>
        <v>0</v>
      </c>
      <c r="J25" s="9" t="n">
        <f aca="false">SUMIFS(IN_Contrib!$Z$4:$Z$2000,IN_Contrib!$B$4:$B$2000,$B$2,IN_Contrib!$C$4:$C$2000,"December")</f>
        <v>0</v>
      </c>
      <c r="K25" s="9" t="n">
        <f aca="false">SUMIFS(IN_Contrib!$Z$4:$Z$2000,IN_Contrib!$B$4:$B$2000,$B$2,IN_Contrib!$C$4:$C$2000,"January")</f>
        <v>0</v>
      </c>
      <c r="L25" s="9" t="n">
        <f aca="false">SUMIFS(IN_Contrib!$Z$4:$Z$2000,IN_Contrib!$B$4:$B$2000,$B$2,IN_Contrib!$C$4:$C$2000,"February")</f>
        <v>0</v>
      </c>
      <c r="M25" s="9" t="n">
        <f aca="false">SUMIFS(IN_Contrib!$Z$4:$Z$2000,IN_Contrib!$B$4:$B$2000,$B$2,IN_Contrib!$C$4:$C$2000,"March")</f>
        <v>0</v>
      </c>
      <c r="N25" s="9" t="n">
        <f aca="false">SUM(B25:M25)</f>
        <v>301.16</v>
      </c>
    </row>
    <row r="26" customFormat="false" ht="15" hidden="false" customHeight="false" outlineLevel="0" collapsed="false">
      <c r="A26" s="0" t="s">
        <v>409</v>
      </c>
      <c r="B26" s="9" t="n">
        <f aca="false">SUMIFS(IN_Contrib!$AA$4:$AA$2000,IN_Contrib!$B$4:$B$2000,$B$2,IN_Contrib!$C$4:$C$2000,"April")</f>
        <v>2.34</v>
      </c>
      <c r="C26" s="9" t="n">
        <f aca="false">SUMIFS(IN_Contrib!$AA$4:$AA$2000,IN_Contrib!$B$4:$B$2000,$B$2,IN_Contrib!$C$4:$C$2000,"May")</f>
        <v>2.2</v>
      </c>
      <c r="D26" s="9" t="n">
        <f aca="false">SUMIFS(IN_Contrib!$AA$4:$AA$2000,IN_Contrib!$B$4:$B$2000,$B$2,IN_Contrib!$C$4:$C$2000,"June")</f>
        <v>0.49</v>
      </c>
      <c r="E26" s="9" t="n">
        <f aca="false">SUMIFS(IN_Contrib!$AA$4:$AA$2000,IN_Contrib!$B$4:$B$2000,$B$2,IN_Contrib!$C$4:$C$2000,"July")</f>
        <v>3.15</v>
      </c>
      <c r="F26" s="9" t="n">
        <f aca="false">SUMIFS(IN_Contrib!$AA$4:$AA$2000,IN_Contrib!$B$4:$B$2000,$B$2,IN_Contrib!$C$4:$C$2000,"August")</f>
        <v>3.42</v>
      </c>
      <c r="G26" s="9" t="n">
        <f aca="false">SUMIFS(IN_Contrib!$AA$4:$AA$2000,IN_Contrib!$B$4:$B$2000,$B$2,IN_Contrib!$C$4:$C$2000,"September")</f>
        <v>4.04</v>
      </c>
      <c r="H26" s="9" t="n">
        <f aca="false">SUMIFS(IN_Contrib!$AA$4:$AA$2000,IN_Contrib!$B$4:$B$2000,$B$2,IN_Contrib!$C$4:$C$2000,"October")</f>
        <v>0</v>
      </c>
      <c r="I26" s="9" t="n">
        <f aca="false">SUMIFS(IN_Contrib!$AA$4:$AA$2000,IN_Contrib!$B$4:$B$2000,$B$2,IN_Contrib!$C$4:$C$2000,"November")</f>
        <v>0</v>
      </c>
      <c r="J26" s="9" t="n">
        <f aca="false">SUMIFS(IN_Contrib!$AA$4:$AA$2000,IN_Contrib!$B$4:$B$2000,$B$2,IN_Contrib!$C$4:$C$2000,"December")</f>
        <v>0</v>
      </c>
      <c r="K26" s="9" t="n">
        <f aca="false">SUMIFS(IN_Contrib!$AA$4:$AA$2000,IN_Contrib!$B$4:$B$2000,$B$2,IN_Contrib!$C$4:$C$2000,"January")</f>
        <v>0</v>
      </c>
      <c r="L26" s="9" t="n">
        <f aca="false">SUMIFS(IN_Contrib!$AA$4:$AA$2000,IN_Contrib!$B$4:$B$2000,$B$2,IN_Contrib!$C$4:$C$2000,"February")</f>
        <v>0</v>
      </c>
      <c r="M26" s="9" t="n">
        <f aca="false">SUMIFS(IN_Contrib!$AA$4:$AA$2000,IN_Contrib!$B$4:$B$2000,$B$2,IN_Contrib!$C$4:$C$2000,"March")</f>
        <v>0</v>
      </c>
      <c r="N26" s="9" t="n">
        <f aca="false">SUM(B26:M26)</f>
        <v>15.64</v>
      </c>
    </row>
    <row r="27" customFormat="false" ht="15" hidden="false" customHeight="false" outlineLevel="0" collapsed="false">
      <c r="A27" s="0" t="s">
        <v>410</v>
      </c>
      <c r="B27" s="9" t="n">
        <f aca="false">SUMIFS(IN_Contrib!$AB$4:$AB$2000,IN_Contrib!$B$4:$B$2000,$B$2,IN_Contrib!$C$4:$C$2000,"April")</f>
        <v>0.11</v>
      </c>
      <c r="C27" s="9" t="n">
        <f aca="false">SUMIFS(IN_Contrib!$AB$4:$AB$2000,IN_Contrib!$B$4:$B$2000,$B$2,IN_Contrib!$C$4:$C$2000,"May")</f>
        <v>1.16</v>
      </c>
      <c r="D27" s="9" t="n">
        <f aca="false">SUMIFS(IN_Contrib!$AB$4:$AB$2000,IN_Contrib!$B$4:$B$2000,$B$2,IN_Contrib!$C$4:$C$2000,"June")</f>
        <v>3.64</v>
      </c>
      <c r="E27" s="9" t="n">
        <f aca="false">SUMIFS(IN_Contrib!$AB$4:$AB$2000,IN_Contrib!$B$4:$B$2000,$B$2,IN_Contrib!$C$4:$C$2000,"July")</f>
        <v>2.05</v>
      </c>
      <c r="F27" s="9" t="n">
        <f aca="false">SUMIFS(IN_Contrib!$AB$4:$AB$2000,IN_Contrib!$B$4:$B$2000,$B$2,IN_Contrib!$C$4:$C$2000,"August")</f>
        <v>0.83</v>
      </c>
      <c r="G27" s="9" t="n">
        <f aca="false">SUMIFS(IN_Contrib!$AB$4:$AB$2000,IN_Contrib!$B$4:$B$2000,$B$2,IN_Contrib!$C$4:$C$2000,"September")</f>
        <v>0.28</v>
      </c>
      <c r="H27" s="9" t="n">
        <f aca="false">SUMIFS(IN_Contrib!$AB$4:$AB$2000,IN_Contrib!$B$4:$B$2000,$B$2,IN_Contrib!$C$4:$C$2000,"October")</f>
        <v>0</v>
      </c>
      <c r="I27" s="9" t="n">
        <f aca="false">SUMIFS(IN_Contrib!$AB$4:$AB$2000,IN_Contrib!$B$4:$B$2000,$B$2,IN_Contrib!$C$4:$C$2000,"November")</f>
        <v>0</v>
      </c>
      <c r="J27" s="9" t="n">
        <f aca="false">SUMIFS(IN_Contrib!$AB$4:$AB$2000,IN_Contrib!$B$4:$B$2000,$B$2,IN_Contrib!$C$4:$C$2000,"December")</f>
        <v>0</v>
      </c>
      <c r="K27" s="9" t="n">
        <f aca="false">SUMIFS(IN_Contrib!$AB$4:$AB$2000,IN_Contrib!$B$4:$B$2000,$B$2,IN_Contrib!$C$4:$C$2000,"January")</f>
        <v>0</v>
      </c>
      <c r="L27" s="9" t="n">
        <f aca="false">SUMIFS(IN_Contrib!$AB$4:$AB$2000,IN_Contrib!$B$4:$B$2000,$B$2,IN_Contrib!$C$4:$C$2000,"February")</f>
        <v>0</v>
      </c>
      <c r="M27" s="9" t="n">
        <f aca="false">SUMIFS(IN_Contrib!$AB$4:$AB$2000,IN_Contrib!$B$4:$B$2000,$B$2,IN_Contrib!$C$4:$C$2000,"March")</f>
        <v>0</v>
      </c>
      <c r="N27" s="9" t="n">
        <f aca="false">SUM(B27:M27)</f>
        <v>8.07</v>
      </c>
    </row>
    <row r="28" customFormat="false" ht="15" hidden="false" customHeight="false" outlineLevel="0" collapsed="false">
      <c r="A28" s="0" t="s">
        <v>411</v>
      </c>
      <c r="B28" s="9" t="n">
        <f aca="false">SUMIFS(IN_Contrib!$AC$4:$AC$2000,IN_Contrib!$B$4:$B$2000,$B$2,IN_Contrib!$C$4:$C$2000,"April")</f>
        <v>3.57</v>
      </c>
      <c r="C28" s="9" t="n">
        <f aca="false">SUMIFS(IN_Contrib!$AC$4:$AC$2000,IN_Contrib!$B$4:$B$2000,$B$2,IN_Contrib!$C$4:$C$2000,"May")</f>
        <v>3.89</v>
      </c>
      <c r="D28" s="9" t="n">
        <f aca="false">SUMIFS(IN_Contrib!$AC$4:$AC$2000,IN_Contrib!$B$4:$B$2000,$B$2,IN_Contrib!$C$4:$C$2000,"June")</f>
        <v>5.1</v>
      </c>
      <c r="E28" s="9" t="n">
        <f aca="false">SUMIFS(IN_Contrib!$AC$4:$AC$2000,IN_Contrib!$B$4:$B$2000,$B$2,IN_Contrib!$C$4:$C$2000,"July")</f>
        <v>6.16</v>
      </c>
      <c r="F28" s="9" t="n">
        <f aca="false">SUMIFS(IN_Contrib!$AC$4:$AC$2000,IN_Contrib!$B$4:$B$2000,$B$2,IN_Contrib!$C$4:$C$2000,"August")</f>
        <v>6.32</v>
      </c>
      <c r="G28" s="9" t="n">
        <f aca="false">SUMIFS(IN_Contrib!$AC$4:$AC$2000,IN_Contrib!$B$4:$B$2000,$B$2,IN_Contrib!$C$4:$C$2000,"September")</f>
        <v>6.14</v>
      </c>
      <c r="H28" s="9" t="n">
        <f aca="false">SUMIFS(IN_Contrib!$AC$4:$AC$2000,IN_Contrib!$B$4:$B$2000,$B$2,IN_Contrib!$C$4:$C$2000,"October")</f>
        <v>0</v>
      </c>
      <c r="I28" s="9" t="n">
        <f aca="false">SUMIFS(IN_Contrib!$AC$4:$AC$2000,IN_Contrib!$B$4:$B$2000,$B$2,IN_Contrib!$C$4:$C$2000,"November")</f>
        <v>0</v>
      </c>
      <c r="J28" s="9" t="n">
        <f aca="false">SUMIFS(IN_Contrib!$AC$4:$AC$2000,IN_Contrib!$B$4:$B$2000,$B$2,IN_Contrib!$C$4:$C$2000,"December")</f>
        <v>0</v>
      </c>
      <c r="K28" s="9" t="n">
        <f aca="false">SUMIFS(IN_Contrib!$AC$4:$AC$2000,IN_Contrib!$B$4:$B$2000,$B$2,IN_Contrib!$C$4:$C$2000,"January")</f>
        <v>0</v>
      </c>
      <c r="L28" s="9" t="n">
        <f aca="false">SUMIFS(IN_Contrib!$AC$4:$AC$2000,IN_Contrib!$B$4:$B$2000,$B$2,IN_Contrib!$C$4:$C$2000,"February")</f>
        <v>0</v>
      </c>
      <c r="M28" s="9" t="n">
        <f aca="false">SUMIFS(IN_Contrib!$AC$4:$AC$2000,IN_Contrib!$B$4:$B$2000,$B$2,IN_Contrib!$C$4:$C$2000,"March")</f>
        <v>0</v>
      </c>
      <c r="N28" s="9" t="n">
        <f aca="false">SUM(B28:M28)</f>
        <v>31.18</v>
      </c>
    </row>
    <row r="30" customFormat="false" ht="15" hidden="false" customHeight="false" outlineLevel="0" collapsed="false">
      <c r="A30" s="4" t="s">
        <v>412</v>
      </c>
      <c r="B30" s="9" t="n">
        <f aca="false">IF(B22=0,0,B25*100/B22)</f>
        <v>53.62533899606</v>
      </c>
      <c r="C30" s="9" t="n">
        <f aca="false">IF(C22=0,0,C25*100/C22)</f>
        <v>51.7571815005859</v>
      </c>
      <c r="D30" s="9" t="n">
        <f aca="false">IF(D22=0,0,D25*100/D22)</f>
        <v>60.6609865957562</v>
      </c>
      <c r="E30" s="9" t="n">
        <f aca="false">IF(E22=0,0,E25*100/E22)</f>
        <v>53.4326121569729</v>
      </c>
      <c r="F30" s="9" t="n">
        <f aca="false">IF(F22=0,0,F25*100/F22)</f>
        <v>56.3542400751703</v>
      </c>
      <c r="G30" s="9" t="n">
        <f aca="false">IF(G22=0,0,G25*100/G22)</f>
        <v>63.2642304989459</v>
      </c>
      <c r="H30" s="9" t="n">
        <f aca="false">IF(H22=0,0,H25*100/H22)</f>
        <v>0</v>
      </c>
      <c r="I30" s="9" t="n">
        <f aca="false">IF(I22=0,0,I25*100/I22)</f>
        <v>0</v>
      </c>
      <c r="J30" s="9" t="n">
        <f aca="false">IF(J22=0,0,J25*100/J22)</f>
        <v>0</v>
      </c>
      <c r="K30" s="9" t="n">
        <f aca="false">IF(K22=0,0,K25*100/K22)</f>
        <v>0</v>
      </c>
      <c r="L30" s="9" t="n">
        <f aca="false">IF(L22=0,0,L25*100/L22)</f>
        <v>0</v>
      </c>
      <c r="M30" s="9" t="n">
        <f aca="false">IF(M22=0,0,M25*100/M22)</f>
        <v>0</v>
      </c>
      <c r="N30" s="9" t="n">
        <f aca="false">IF(N22=0,0,N25*100/N22)</f>
        <v>57.0074316368909</v>
      </c>
    </row>
    <row r="31" customFormat="false" ht="15" hidden="false" customHeight="false" outlineLevel="0" collapsed="false">
      <c r="A31" s="0" t="s">
        <v>413</v>
      </c>
      <c r="B31" s="9" t="n">
        <f aca="false">MIS!B22</f>
        <v>13.06</v>
      </c>
      <c r="C31" s="9" t="n">
        <f aca="false">MIS!C22</f>
        <v>35.85</v>
      </c>
      <c r="D31" s="9" t="n">
        <f aca="false">MIS!D22</f>
        <v>51.28</v>
      </c>
      <c r="E31" s="9" t="n">
        <f aca="false">MIS!F22</f>
        <v>58.26</v>
      </c>
      <c r="F31" s="9" t="n">
        <f aca="false">MIS!G22</f>
        <v>50.51</v>
      </c>
      <c r="G31" s="9" t="n">
        <f aca="false">MIS!H22</f>
        <v>66.84</v>
      </c>
      <c r="H31" s="9" t="n">
        <f aca="false">MIS!J22</f>
        <v>0</v>
      </c>
      <c r="I31" s="9" t="n">
        <f aca="false">MIS!K22</f>
        <v>0</v>
      </c>
      <c r="J31" s="9" t="n">
        <f aca="false">MIS!L22</f>
        <v>0</v>
      </c>
      <c r="K31" s="9" t="n">
        <f aca="false">MIS!N22</f>
        <v>0</v>
      </c>
      <c r="L31" s="9" t="n">
        <f aca="false">MIS!O22</f>
        <v>0</v>
      </c>
      <c r="M31" s="9" t="n">
        <f aca="false">MIS!P22</f>
        <v>0</v>
      </c>
      <c r="N31" s="9" t="n">
        <f aca="false">SUM(B31:M31)</f>
        <v>275.8</v>
      </c>
    </row>
    <row r="32" customFormat="false" ht="15" hidden="false" customHeight="false" outlineLevel="0" collapsed="false">
      <c r="A32" s="0" t="s">
        <v>414</v>
      </c>
      <c r="B32" s="9" t="n">
        <f aca="false">B31-B25</f>
        <v>-7.89999999999998</v>
      </c>
      <c r="C32" s="9" t="n">
        <f aca="false">C31-C25</f>
        <v>-11.41</v>
      </c>
      <c r="D32" s="9" t="n">
        <f aca="false">D31-D25</f>
        <v>-4.61000000000003</v>
      </c>
      <c r="E32" s="9" t="n">
        <f aca="false">E31-E25</f>
        <v>1.20999999999999</v>
      </c>
      <c r="F32" s="9" t="n">
        <f aca="false">F31-F25</f>
        <v>2.52999999999999</v>
      </c>
      <c r="G32" s="9" t="n">
        <f aca="false">G31-G25</f>
        <v>-5.17999999999999</v>
      </c>
      <c r="H32" s="9" t="n">
        <f aca="false">H31-H25</f>
        <v>0</v>
      </c>
      <c r="I32" s="9" t="n">
        <f aca="false">I31-I25</f>
        <v>0</v>
      </c>
      <c r="J32" s="9" t="n">
        <f aca="false">J31-J25</f>
        <v>0</v>
      </c>
      <c r="K32" s="9" t="n">
        <f aca="false">K31-K25</f>
        <v>0</v>
      </c>
      <c r="L32" s="9" t="n">
        <f aca="false">L31-L25</f>
        <v>0</v>
      </c>
      <c r="M32" s="9" t="n">
        <f aca="false">M31-M25</f>
        <v>0</v>
      </c>
      <c r="N32" s="9" t="n">
        <f aca="false">SUM(B32:M32)</f>
        <v>-25.36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1"/>
    <col collapsed="false" customWidth="true" hidden="false" outlineLevel="0" max="8" min="3" style="0" width="10.51"/>
  </cols>
  <sheetData>
    <row r="1" customFormat="false" ht="15" hidden="false" customHeight="false" outlineLevel="0" collapsed="false">
      <c r="A1" s="11" t="s">
        <v>415</v>
      </c>
    </row>
    <row r="3" customFormat="false" ht="15" hidden="false" customHeight="false" outlineLevel="0" collapsed="false">
      <c r="A3" s="5" t="s">
        <v>416</v>
      </c>
      <c r="B3" s="5" t="s">
        <v>417</v>
      </c>
      <c r="C3" s="5" t="s">
        <v>108</v>
      </c>
      <c r="D3" s="5" t="s">
        <v>109</v>
      </c>
      <c r="E3" s="5" t="s">
        <v>110</v>
      </c>
      <c r="F3" s="5" t="s">
        <v>111</v>
      </c>
      <c r="G3" s="5" t="s">
        <v>112</v>
      </c>
      <c r="H3" s="5" t="s">
        <v>113</v>
      </c>
      <c r="I3" s="4" t="s">
        <v>418</v>
      </c>
    </row>
    <row r="4" customFormat="false" ht="15" hidden="false" customHeight="false" outlineLevel="0" collapsed="false">
      <c r="A4" s="4" t="s">
        <v>54</v>
      </c>
      <c r="B4" s="2" t="s">
        <v>419</v>
      </c>
      <c r="C4" s="25" t="n">
        <v>150.43</v>
      </c>
      <c r="D4" s="25" t="n">
        <v>183.09</v>
      </c>
      <c r="E4" s="25" t="n">
        <v>252.08</v>
      </c>
      <c r="F4" s="25" t="n">
        <v>326.82</v>
      </c>
      <c r="G4" s="25" t="n">
        <v>271.68</v>
      </c>
      <c r="H4" s="25" t="n">
        <v>257.64</v>
      </c>
    </row>
    <row r="5" customFormat="false" ht="15" hidden="false" customHeight="false" outlineLevel="0" collapsed="false">
      <c r="A5" s="4"/>
      <c r="B5" s="2" t="s">
        <v>420</v>
      </c>
      <c r="C5" s="9" t="n">
        <f aca="false">MIS!B7</f>
        <v>150.43</v>
      </c>
      <c r="D5" s="9" t="n">
        <f aca="false">MIS!C7</f>
        <v>183.09</v>
      </c>
      <c r="E5" s="9" t="n">
        <f aca="false">MIS!D7</f>
        <v>252.08</v>
      </c>
      <c r="F5" s="9" t="n">
        <f aca="false">MIS!F7</f>
        <v>326.82</v>
      </c>
      <c r="G5" s="9" t="n">
        <f aca="false">MIS!G7</f>
        <v>271.68</v>
      </c>
      <c r="H5" s="9" t="n">
        <f aca="false">MIS!H7</f>
        <v>257.64</v>
      </c>
    </row>
    <row r="6" customFormat="false" ht="15" hidden="false" customHeight="false" outlineLevel="0" collapsed="false">
      <c r="A6" s="4"/>
      <c r="B6" s="2" t="s">
        <v>421</v>
      </c>
      <c r="C6" s="9" t="n">
        <f aca="false">ROUND(C5-C4,2)</f>
        <v>0</v>
      </c>
      <c r="D6" s="9" t="n">
        <f aca="false">ROUND(D5-D4,2)</f>
        <v>0</v>
      </c>
      <c r="E6" s="9" t="n">
        <f aca="false">ROUND(E5-E4,2)</f>
        <v>0</v>
      </c>
      <c r="F6" s="9" t="n">
        <f aca="false">ROUND(F5-F4,2)</f>
        <v>0</v>
      </c>
      <c r="G6" s="9" t="n">
        <f aca="false">ROUND(G5-G4,2)</f>
        <v>0</v>
      </c>
      <c r="H6" s="9" t="n">
        <f aca="false">ROUND(H5-H4,2)</f>
        <v>0</v>
      </c>
      <c r="I6" s="16" t="n">
        <f aca="false">MAX(MAX(C6:H6),-MIN(C6:H6))</f>
        <v>-0</v>
      </c>
    </row>
    <row r="7" customFormat="false" ht="15" hidden="false" customHeight="false" outlineLevel="0" collapsed="false">
      <c r="A7" s="4" t="s">
        <v>55</v>
      </c>
      <c r="B7" s="2" t="s">
        <v>419</v>
      </c>
      <c r="C7" s="25" t="n">
        <v>22.95</v>
      </c>
      <c r="D7" s="25" t="n">
        <v>27.93</v>
      </c>
      <c r="E7" s="25" t="n">
        <v>38.45</v>
      </c>
      <c r="F7" s="25" t="n">
        <v>49.85</v>
      </c>
      <c r="G7" s="25" t="n">
        <v>41.44</v>
      </c>
      <c r="H7" s="25" t="n">
        <v>39.3</v>
      </c>
    </row>
    <row r="8" customFormat="false" ht="15" hidden="false" customHeight="false" outlineLevel="0" collapsed="false">
      <c r="A8" s="4"/>
      <c r="B8" s="2" t="s">
        <v>420</v>
      </c>
      <c r="C8" s="9" t="n">
        <f aca="false">MIS!B8</f>
        <v>22.95</v>
      </c>
      <c r="D8" s="9" t="n">
        <f aca="false">MIS!C8</f>
        <v>27.93</v>
      </c>
      <c r="E8" s="9" t="n">
        <f aca="false">MIS!D8</f>
        <v>38.45</v>
      </c>
      <c r="F8" s="9" t="n">
        <f aca="false">MIS!F8</f>
        <v>49.85</v>
      </c>
      <c r="G8" s="9" t="n">
        <f aca="false">MIS!G8</f>
        <v>41.44</v>
      </c>
      <c r="H8" s="9" t="n">
        <f aca="false">MIS!H8</f>
        <v>39.3</v>
      </c>
    </row>
    <row r="9" customFormat="false" ht="15" hidden="false" customHeight="false" outlineLevel="0" collapsed="false">
      <c r="A9" s="4"/>
      <c r="B9" s="2" t="s">
        <v>421</v>
      </c>
      <c r="C9" s="9" t="n">
        <f aca="false">ROUND(C8-C7,2)</f>
        <v>0</v>
      </c>
      <c r="D9" s="9" t="n">
        <f aca="false">ROUND(D8-D7,2)</f>
        <v>0</v>
      </c>
      <c r="E9" s="9" t="n">
        <f aca="false">ROUND(E8-E7,2)</f>
        <v>0</v>
      </c>
      <c r="F9" s="9" t="n">
        <f aca="false">ROUND(F8-F7,2)</f>
        <v>0</v>
      </c>
      <c r="G9" s="9" t="n">
        <f aca="false">ROUND(G8-G7,2)</f>
        <v>0</v>
      </c>
      <c r="H9" s="9" t="n">
        <f aca="false">ROUND(H8-H7,2)</f>
        <v>0</v>
      </c>
      <c r="I9" s="16" t="n">
        <f aca="false">MAX(MAX(C9:H9),-MIN(C9:H9))</f>
        <v>-0</v>
      </c>
    </row>
    <row r="10" customFormat="false" ht="15" hidden="false" customHeight="false" outlineLevel="0" collapsed="false">
      <c r="A10" s="4" t="s">
        <v>56</v>
      </c>
      <c r="B10" s="2" t="s">
        <v>419</v>
      </c>
      <c r="C10" s="25" t="n">
        <v>127.48</v>
      </c>
      <c r="D10" s="25" t="n">
        <v>155.16</v>
      </c>
      <c r="E10" s="25" t="n">
        <v>213.63</v>
      </c>
      <c r="F10" s="25" t="n">
        <v>276.97</v>
      </c>
      <c r="G10" s="25" t="n">
        <v>230.24</v>
      </c>
      <c r="H10" s="25" t="n">
        <v>218.34</v>
      </c>
    </row>
    <row r="11" customFormat="false" ht="15" hidden="false" customHeight="false" outlineLevel="0" collapsed="false">
      <c r="A11" s="4"/>
      <c r="B11" s="2" t="s">
        <v>420</v>
      </c>
      <c r="C11" s="9" t="n">
        <f aca="false">MIS!B9</f>
        <v>127.48</v>
      </c>
      <c r="D11" s="9" t="n">
        <f aca="false">MIS!C9</f>
        <v>155.16</v>
      </c>
      <c r="E11" s="9" t="n">
        <f aca="false">MIS!D9</f>
        <v>213.63</v>
      </c>
      <c r="F11" s="9" t="n">
        <f aca="false">MIS!F9</f>
        <v>276.97</v>
      </c>
      <c r="G11" s="9" t="n">
        <f aca="false">MIS!G9</f>
        <v>230.24</v>
      </c>
      <c r="H11" s="9" t="n">
        <f aca="false">MIS!H9</f>
        <v>218.34</v>
      </c>
    </row>
    <row r="12" customFormat="false" ht="15" hidden="false" customHeight="false" outlineLevel="0" collapsed="false">
      <c r="A12" s="4"/>
      <c r="B12" s="2" t="s">
        <v>421</v>
      </c>
      <c r="C12" s="9" t="n">
        <f aca="false">ROUND(C11-C10,2)</f>
        <v>0</v>
      </c>
      <c r="D12" s="9" t="n">
        <f aca="false">ROUND(D11-D10,2)</f>
        <v>0</v>
      </c>
      <c r="E12" s="9" t="n">
        <f aca="false">ROUND(E11-E10,2)</f>
        <v>0</v>
      </c>
      <c r="F12" s="9" t="n">
        <f aca="false">ROUND(F11-F10,2)</f>
        <v>0</v>
      </c>
      <c r="G12" s="9" t="n">
        <f aca="false">ROUND(G11-G10,2)</f>
        <v>0</v>
      </c>
      <c r="H12" s="9" t="n">
        <f aca="false">ROUND(H11-H10,2)</f>
        <v>0</v>
      </c>
      <c r="I12" s="16" t="n">
        <f aca="false">MAX(MAX(C12:H12),-MIN(C12:H12))</f>
        <v>-0</v>
      </c>
    </row>
    <row r="13" customFormat="false" ht="15" hidden="false" customHeight="false" outlineLevel="0" collapsed="false">
      <c r="A13" s="4" t="s">
        <v>57</v>
      </c>
      <c r="B13" s="2" t="s">
        <v>419</v>
      </c>
      <c r="C13" s="25" t="n">
        <v>0</v>
      </c>
      <c r="D13" s="25" t="n">
        <v>4.86</v>
      </c>
      <c r="E13" s="25" t="n">
        <v>7.15</v>
      </c>
      <c r="F13" s="25" t="n">
        <v>1.35</v>
      </c>
      <c r="G13" s="25" t="n">
        <v>1</v>
      </c>
      <c r="H13" s="25" t="n">
        <v>0.56</v>
      </c>
    </row>
    <row r="14" customFormat="false" ht="15" hidden="false" customHeight="false" outlineLevel="0" collapsed="false">
      <c r="A14" s="4"/>
      <c r="B14" s="2" t="s">
        <v>420</v>
      </c>
      <c r="C14" s="9" t="n">
        <f aca="false">MIS!B10</f>
        <v>0</v>
      </c>
      <c r="D14" s="9" t="n">
        <f aca="false">MIS!C10</f>
        <v>4.86</v>
      </c>
      <c r="E14" s="9" t="n">
        <f aca="false">MIS!D10</f>
        <v>7.15</v>
      </c>
      <c r="F14" s="9" t="n">
        <f aca="false">MIS!F10</f>
        <v>1.35</v>
      </c>
      <c r="G14" s="9" t="n">
        <f aca="false">MIS!G10</f>
        <v>1</v>
      </c>
      <c r="H14" s="9" t="n">
        <f aca="false">MIS!H10</f>
        <v>0.56</v>
      </c>
    </row>
    <row r="15" customFormat="false" ht="15" hidden="false" customHeight="false" outlineLevel="0" collapsed="false">
      <c r="A15" s="4"/>
      <c r="B15" s="2" t="s">
        <v>421</v>
      </c>
      <c r="C15" s="9" t="n">
        <f aca="false">ROUND(C14-C13,2)</f>
        <v>0</v>
      </c>
      <c r="D15" s="9" t="n">
        <f aca="false">ROUND(D14-D13,2)</f>
        <v>0</v>
      </c>
      <c r="E15" s="9" t="n">
        <f aca="false">ROUND(E14-E13,2)</f>
        <v>0</v>
      </c>
      <c r="F15" s="9" t="n">
        <f aca="false">ROUND(F14-F13,2)</f>
        <v>0</v>
      </c>
      <c r="G15" s="9" t="n">
        <f aca="false">ROUND(G14-G13,2)</f>
        <v>0</v>
      </c>
      <c r="H15" s="9" t="n">
        <f aca="false">ROUND(H14-H13,2)</f>
        <v>0</v>
      </c>
      <c r="I15" s="16" t="n">
        <f aca="false">MAX(MAX(C15:H15),-MIN(C15:H15))</f>
        <v>-0</v>
      </c>
    </row>
    <row r="16" customFormat="false" ht="15" hidden="false" customHeight="false" outlineLevel="0" collapsed="false">
      <c r="A16" s="4" t="s">
        <v>58</v>
      </c>
      <c r="B16" s="2" t="s">
        <v>419</v>
      </c>
      <c r="C16" s="25" t="n">
        <v>127.48</v>
      </c>
      <c r="D16" s="25" t="n">
        <v>150.3</v>
      </c>
      <c r="E16" s="25" t="n">
        <v>206.48</v>
      </c>
      <c r="F16" s="25" t="n">
        <v>275.62</v>
      </c>
      <c r="G16" s="25" t="n">
        <v>229.24</v>
      </c>
      <c r="H16" s="25" t="n">
        <v>217.78</v>
      </c>
    </row>
    <row r="17" customFormat="false" ht="15" hidden="false" customHeight="false" outlineLevel="0" collapsed="false">
      <c r="A17" s="4"/>
      <c r="B17" s="2" t="s">
        <v>420</v>
      </c>
      <c r="C17" s="9" t="n">
        <f aca="false">MIS!B11</f>
        <v>127.48</v>
      </c>
      <c r="D17" s="9" t="n">
        <f aca="false">MIS!C11</f>
        <v>150.3</v>
      </c>
      <c r="E17" s="9" t="n">
        <f aca="false">MIS!D11</f>
        <v>206.48</v>
      </c>
      <c r="F17" s="9" t="n">
        <f aca="false">MIS!F11</f>
        <v>275.62</v>
      </c>
      <c r="G17" s="9" t="n">
        <f aca="false">MIS!G11</f>
        <v>229.24</v>
      </c>
      <c r="H17" s="9" t="n">
        <f aca="false">MIS!H11</f>
        <v>217.78</v>
      </c>
    </row>
    <row r="18" customFormat="false" ht="15" hidden="false" customHeight="false" outlineLevel="0" collapsed="false">
      <c r="A18" s="4"/>
      <c r="B18" s="2" t="s">
        <v>421</v>
      </c>
      <c r="C18" s="9" t="n">
        <f aca="false">ROUND(C17-C16,2)</f>
        <v>0</v>
      </c>
      <c r="D18" s="9" t="n">
        <f aca="false">ROUND(D17-D16,2)</f>
        <v>0</v>
      </c>
      <c r="E18" s="9" t="n">
        <f aca="false">ROUND(E17-E16,2)</f>
        <v>0</v>
      </c>
      <c r="F18" s="9" t="n">
        <f aca="false">ROUND(F17-F16,2)</f>
        <v>0</v>
      </c>
      <c r="G18" s="9" t="n">
        <f aca="false">ROUND(G17-G16,2)</f>
        <v>0</v>
      </c>
      <c r="H18" s="9" t="n">
        <f aca="false">ROUND(H17-H16,2)</f>
        <v>0</v>
      </c>
      <c r="I18" s="16" t="n">
        <f aca="false">MAX(MAX(C18:H18),-MIN(C18:H18))</f>
        <v>-0</v>
      </c>
    </row>
    <row r="19" customFormat="false" ht="15" hidden="false" customHeight="false" outlineLevel="0" collapsed="false">
      <c r="A19" s="4" t="s">
        <v>59</v>
      </c>
      <c r="B19" s="2" t="s">
        <v>419</v>
      </c>
      <c r="C19" s="25" t="n">
        <v>0</v>
      </c>
      <c r="D19" s="25" t="n">
        <v>1.5</v>
      </c>
      <c r="E19" s="25" t="n">
        <v>0</v>
      </c>
      <c r="F19" s="25" t="n">
        <v>0</v>
      </c>
      <c r="G19" s="25" t="n">
        <v>2.5</v>
      </c>
      <c r="H19" s="25" t="n">
        <v>4.8</v>
      </c>
    </row>
    <row r="20" customFormat="false" ht="15" hidden="false" customHeight="false" outlineLevel="0" collapsed="false">
      <c r="A20" s="4"/>
      <c r="B20" s="2" t="s">
        <v>420</v>
      </c>
      <c r="C20" s="9" t="n">
        <f aca="false">MIS!B12</f>
        <v>0</v>
      </c>
      <c r="D20" s="9" t="n">
        <f aca="false">MIS!C12</f>
        <v>1.5</v>
      </c>
      <c r="E20" s="9" t="n">
        <f aca="false">MIS!D12</f>
        <v>0</v>
      </c>
      <c r="F20" s="9" t="n">
        <f aca="false">MIS!F12</f>
        <v>0</v>
      </c>
      <c r="G20" s="9" t="n">
        <f aca="false">MIS!G12</f>
        <v>2.5</v>
      </c>
      <c r="H20" s="9" t="n">
        <f aca="false">MIS!H12</f>
        <v>4.8</v>
      </c>
    </row>
    <row r="21" customFormat="false" ht="15" hidden="false" customHeight="false" outlineLevel="0" collapsed="false">
      <c r="A21" s="4"/>
      <c r="B21" s="2" t="s">
        <v>421</v>
      </c>
      <c r="C21" s="9" t="n">
        <f aca="false">ROUND(C20-C19,2)</f>
        <v>0</v>
      </c>
      <c r="D21" s="9" t="n">
        <f aca="false">ROUND(D20-D19,2)</f>
        <v>0</v>
      </c>
      <c r="E21" s="9" t="n">
        <f aca="false">ROUND(E20-E19,2)</f>
        <v>0</v>
      </c>
      <c r="F21" s="9" t="n">
        <f aca="false">ROUND(F20-F19,2)</f>
        <v>0</v>
      </c>
      <c r="G21" s="9" t="n">
        <f aca="false">ROUND(G20-G19,2)</f>
        <v>0</v>
      </c>
      <c r="H21" s="9" t="n">
        <f aca="false">ROUND(H20-H19,2)</f>
        <v>0</v>
      </c>
      <c r="I21" s="16" t="n">
        <f aca="false">MAX(MAX(C21:H21),-MIN(C21:H21))</f>
        <v>-0</v>
      </c>
    </row>
    <row r="22" customFormat="false" ht="15" hidden="false" customHeight="false" outlineLevel="0" collapsed="false">
      <c r="A22" s="4" t="s">
        <v>60</v>
      </c>
      <c r="B22" s="2" t="s">
        <v>419</v>
      </c>
      <c r="C22" s="25" t="n">
        <v>-15.08</v>
      </c>
      <c r="D22" s="25" t="n">
        <v>-3.56</v>
      </c>
      <c r="E22" s="25" t="n">
        <v>-4.02</v>
      </c>
      <c r="F22" s="25" t="n">
        <v>-3.79</v>
      </c>
      <c r="G22" s="25" t="n">
        <v>1</v>
      </c>
      <c r="H22" s="25" t="n">
        <v>0.56</v>
      </c>
    </row>
    <row r="23" customFormat="false" ht="15" hidden="false" customHeight="false" outlineLevel="0" collapsed="false">
      <c r="A23" s="4"/>
      <c r="B23" s="2" t="s">
        <v>420</v>
      </c>
      <c r="C23" s="9" t="n">
        <f aca="false">MIS!B13</f>
        <v>-15.08</v>
      </c>
      <c r="D23" s="9" t="n">
        <f aca="false">MIS!C13</f>
        <v>-3.56</v>
      </c>
      <c r="E23" s="9" t="n">
        <f aca="false">MIS!D13</f>
        <v>-4.02</v>
      </c>
      <c r="F23" s="9" t="n">
        <f aca="false">MIS!F13</f>
        <v>-3.79</v>
      </c>
      <c r="G23" s="9" t="n">
        <f aca="false">MIS!G13</f>
        <v>1</v>
      </c>
      <c r="H23" s="9" t="n">
        <f aca="false">MIS!H13</f>
        <v>0.56</v>
      </c>
    </row>
    <row r="24" customFormat="false" ht="15" hidden="false" customHeight="false" outlineLevel="0" collapsed="false">
      <c r="A24" s="4"/>
      <c r="B24" s="2" t="s">
        <v>421</v>
      </c>
      <c r="C24" s="9" t="n">
        <f aca="false">ROUND(C23-C22,2)</f>
        <v>0</v>
      </c>
      <c r="D24" s="9" t="n">
        <f aca="false">ROUND(D23-D22,2)</f>
        <v>0</v>
      </c>
      <c r="E24" s="9" t="n">
        <f aca="false">ROUND(E23-E22,2)</f>
        <v>0</v>
      </c>
      <c r="F24" s="9" t="n">
        <f aca="false">ROUND(F23-F22,2)</f>
        <v>0</v>
      </c>
      <c r="G24" s="9" t="n">
        <f aca="false">ROUND(G23-G22,2)</f>
        <v>0</v>
      </c>
      <c r="H24" s="9" t="n">
        <f aca="false">ROUND(H23-H22,2)</f>
        <v>0</v>
      </c>
      <c r="I24" s="16" t="n">
        <f aca="false">MAX(MAX(C24:H24),-MIN(C24:H24))</f>
        <v>-0</v>
      </c>
    </row>
    <row r="25" customFormat="false" ht="15" hidden="false" customHeight="false" outlineLevel="0" collapsed="false">
      <c r="A25" s="4" t="s">
        <v>61</v>
      </c>
      <c r="B25" s="2" t="s">
        <v>419</v>
      </c>
      <c r="C25" s="25" t="n">
        <v>112.4</v>
      </c>
      <c r="D25" s="25" t="n">
        <v>148.24</v>
      </c>
      <c r="E25" s="25" t="n">
        <v>202.46</v>
      </c>
      <c r="F25" s="25" t="n">
        <v>271.83</v>
      </c>
      <c r="G25" s="25" t="n">
        <v>232.74</v>
      </c>
      <c r="H25" s="25" t="n">
        <v>223.14</v>
      </c>
    </row>
    <row r="26" customFormat="false" ht="15" hidden="false" customHeight="false" outlineLevel="0" collapsed="false">
      <c r="A26" s="4"/>
      <c r="B26" s="2" t="s">
        <v>420</v>
      </c>
      <c r="C26" s="9" t="n">
        <f aca="false">MIS!B14</f>
        <v>112.4</v>
      </c>
      <c r="D26" s="9" t="n">
        <f aca="false">MIS!C14</f>
        <v>148.24</v>
      </c>
      <c r="E26" s="9" t="n">
        <f aca="false">MIS!D14</f>
        <v>202.46</v>
      </c>
      <c r="F26" s="9" t="n">
        <f aca="false">MIS!F14</f>
        <v>271.83</v>
      </c>
      <c r="G26" s="9" t="n">
        <f aca="false">MIS!G14</f>
        <v>232.74</v>
      </c>
      <c r="H26" s="9" t="n">
        <f aca="false">MIS!H14</f>
        <v>223.14</v>
      </c>
    </row>
    <row r="27" customFormat="false" ht="15" hidden="false" customHeight="false" outlineLevel="0" collapsed="false">
      <c r="A27" s="4"/>
      <c r="B27" s="2" t="s">
        <v>421</v>
      </c>
      <c r="C27" s="9" t="n">
        <f aca="false">ROUND(C26-C25,2)</f>
        <v>0</v>
      </c>
      <c r="D27" s="9" t="n">
        <f aca="false">ROUND(D26-D25,2)</f>
        <v>0</v>
      </c>
      <c r="E27" s="9" t="n">
        <f aca="false">ROUND(E26-E25,2)</f>
        <v>0</v>
      </c>
      <c r="F27" s="9" t="n">
        <f aca="false">ROUND(F26-F25,2)</f>
        <v>0</v>
      </c>
      <c r="G27" s="9" t="n">
        <f aca="false">ROUND(G26-G25,2)</f>
        <v>0</v>
      </c>
      <c r="H27" s="9" t="n">
        <f aca="false">ROUND(H26-H25,2)</f>
        <v>0</v>
      </c>
      <c r="I27" s="16" t="n">
        <f aca="false">MAX(MAX(C27:H27),-MIN(C27:H27))</f>
        <v>-0</v>
      </c>
    </row>
    <row r="28" customFormat="false" ht="15" hidden="false" customHeight="false" outlineLevel="0" collapsed="false">
      <c r="A28" s="4" t="s">
        <v>63</v>
      </c>
      <c r="B28" s="2" t="s">
        <v>419</v>
      </c>
      <c r="C28" s="25" t="n">
        <v>47.91</v>
      </c>
      <c r="D28" s="25" t="n">
        <v>159.27</v>
      </c>
      <c r="E28" s="25" t="n">
        <v>153.67</v>
      </c>
      <c r="F28" s="25" t="n">
        <v>160.21</v>
      </c>
      <c r="G28" s="25" t="n">
        <v>109.64</v>
      </c>
      <c r="H28" s="25" t="n">
        <v>174.02</v>
      </c>
    </row>
    <row r="29" customFormat="false" ht="15" hidden="false" customHeight="false" outlineLevel="0" collapsed="false">
      <c r="A29" s="4"/>
      <c r="B29" s="2" t="s">
        <v>420</v>
      </c>
      <c r="C29" s="9" t="n">
        <f aca="false">MIS!B16</f>
        <v>47.91</v>
      </c>
      <c r="D29" s="9" t="n">
        <f aca="false">MIS!C16</f>
        <v>159.27</v>
      </c>
      <c r="E29" s="9" t="n">
        <f aca="false">MIS!D16</f>
        <v>153.67</v>
      </c>
      <c r="F29" s="9" t="n">
        <f aca="false">MIS!F16</f>
        <v>160.21</v>
      </c>
      <c r="G29" s="9" t="n">
        <f aca="false">MIS!G16</f>
        <v>109.64</v>
      </c>
      <c r="H29" s="9" t="n">
        <f aca="false">MIS!H16</f>
        <v>174.02</v>
      </c>
    </row>
    <row r="30" customFormat="false" ht="15" hidden="false" customHeight="false" outlineLevel="0" collapsed="false">
      <c r="A30" s="4"/>
      <c r="B30" s="2" t="s">
        <v>421</v>
      </c>
      <c r="C30" s="9" t="n">
        <f aca="false">ROUND(C29-C28,2)</f>
        <v>0</v>
      </c>
      <c r="D30" s="9" t="n">
        <f aca="false">ROUND(D29-D28,2)</f>
        <v>0</v>
      </c>
      <c r="E30" s="9" t="n">
        <f aca="false">ROUND(E29-E28,2)</f>
        <v>0</v>
      </c>
      <c r="F30" s="9" t="n">
        <f aca="false">ROUND(F29-F28,2)</f>
        <v>0</v>
      </c>
      <c r="G30" s="9" t="n">
        <f aca="false">ROUND(G29-G28,2)</f>
        <v>0</v>
      </c>
      <c r="H30" s="9" t="n">
        <f aca="false">ROUND(H29-H28,2)</f>
        <v>0</v>
      </c>
      <c r="I30" s="16" t="n">
        <f aca="false">MAX(MAX(C30:H30),-MIN(C30:H30))</f>
        <v>-0</v>
      </c>
    </row>
    <row r="31" customFormat="false" ht="15" hidden="false" customHeight="false" outlineLevel="0" collapsed="false">
      <c r="A31" s="4" t="s">
        <v>64</v>
      </c>
      <c r="B31" s="2" t="s">
        <v>419</v>
      </c>
      <c r="C31" s="25" t="n">
        <v>31.72</v>
      </c>
      <c r="D31" s="25" t="n">
        <v>-71.63</v>
      </c>
      <c r="E31" s="25" t="n">
        <v>-32.47</v>
      </c>
      <c r="F31" s="25" t="n">
        <v>22.62</v>
      </c>
      <c r="G31" s="25" t="n">
        <v>43.89</v>
      </c>
      <c r="H31" s="25" t="n">
        <v>-48.76</v>
      </c>
    </row>
    <row r="32" customFormat="false" ht="15" hidden="false" customHeight="false" outlineLevel="0" collapsed="false">
      <c r="A32" s="4"/>
      <c r="B32" s="2" t="s">
        <v>420</v>
      </c>
      <c r="C32" s="9" t="n">
        <f aca="false">MIS!B17</f>
        <v>31.72</v>
      </c>
      <c r="D32" s="9" t="n">
        <f aca="false">MIS!C17</f>
        <v>-71.63</v>
      </c>
      <c r="E32" s="9" t="n">
        <f aca="false">MIS!D17</f>
        <v>-32.47</v>
      </c>
      <c r="F32" s="9" t="n">
        <f aca="false">MIS!F17</f>
        <v>22.62</v>
      </c>
      <c r="G32" s="9" t="n">
        <f aca="false">MIS!G17</f>
        <v>43.89</v>
      </c>
      <c r="H32" s="9" t="n">
        <f aca="false">MIS!H17</f>
        <v>-48.76</v>
      </c>
    </row>
    <row r="33" customFormat="false" ht="15" hidden="false" customHeight="false" outlineLevel="0" collapsed="false">
      <c r="A33" s="4"/>
      <c r="B33" s="2" t="s">
        <v>421</v>
      </c>
      <c r="C33" s="9" t="n">
        <f aca="false">ROUND(C32-C31,2)</f>
        <v>0</v>
      </c>
      <c r="D33" s="9" t="n">
        <f aca="false">ROUND(D32-D31,2)</f>
        <v>0</v>
      </c>
      <c r="E33" s="9" t="n">
        <f aca="false">ROUND(E32-E31,2)</f>
        <v>0</v>
      </c>
      <c r="F33" s="9" t="n">
        <f aca="false">ROUND(F32-F31,2)</f>
        <v>0</v>
      </c>
      <c r="G33" s="9" t="n">
        <f aca="false">ROUND(G32-G31,2)</f>
        <v>0</v>
      </c>
      <c r="H33" s="9" t="n">
        <f aca="false">ROUND(H32-H31,2)</f>
        <v>0</v>
      </c>
      <c r="I33" s="16" t="n">
        <f aca="false">MAX(MAX(C33:H33),-MIN(C33:H33))</f>
        <v>-0</v>
      </c>
    </row>
    <row r="34" customFormat="false" ht="15" hidden="false" customHeight="false" outlineLevel="0" collapsed="false">
      <c r="A34" s="4" t="s">
        <v>66</v>
      </c>
      <c r="B34" s="2" t="s">
        <v>419</v>
      </c>
      <c r="C34" s="25" t="n">
        <v>10.61</v>
      </c>
      <c r="D34" s="25" t="n">
        <v>15.14</v>
      </c>
      <c r="E34" s="25" t="n">
        <v>17.79</v>
      </c>
      <c r="F34" s="25" t="n">
        <v>18.01</v>
      </c>
      <c r="G34" s="25" t="n">
        <v>17.14</v>
      </c>
      <c r="H34" s="25" t="n">
        <v>18.37</v>
      </c>
    </row>
    <row r="35" customFormat="false" ht="15" hidden="false" customHeight="false" outlineLevel="0" collapsed="false">
      <c r="A35" s="4"/>
      <c r="B35" s="2" t="s">
        <v>420</v>
      </c>
      <c r="C35" s="9" t="n">
        <f aca="false">MIS!B19</f>
        <v>10.61</v>
      </c>
      <c r="D35" s="9" t="n">
        <f aca="false">MIS!C19</f>
        <v>15.14</v>
      </c>
      <c r="E35" s="9" t="n">
        <f aca="false">MIS!D19</f>
        <v>17.79</v>
      </c>
      <c r="F35" s="9" t="n">
        <f aca="false">MIS!F19</f>
        <v>18.01</v>
      </c>
      <c r="G35" s="9" t="n">
        <f aca="false">MIS!G19</f>
        <v>17.14</v>
      </c>
      <c r="H35" s="9" t="n">
        <f aca="false">MIS!H19</f>
        <v>18.37</v>
      </c>
    </row>
    <row r="36" customFormat="false" ht="15" hidden="false" customHeight="false" outlineLevel="0" collapsed="false">
      <c r="A36" s="4"/>
      <c r="B36" s="2" t="s">
        <v>421</v>
      </c>
      <c r="C36" s="9" t="n">
        <f aca="false">ROUND(C35-C34,2)</f>
        <v>0</v>
      </c>
      <c r="D36" s="9" t="n">
        <f aca="false">ROUND(D35-D34,2)</f>
        <v>0</v>
      </c>
      <c r="E36" s="9" t="n">
        <f aca="false">ROUND(E35-E34,2)</f>
        <v>0</v>
      </c>
      <c r="F36" s="9" t="n">
        <f aca="false">ROUND(F35-F34,2)</f>
        <v>0</v>
      </c>
      <c r="G36" s="9" t="n">
        <f aca="false">ROUND(G35-G34,2)</f>
        <v>0</v>
      </c>
      <c r="H36" s="9" t="n">
        <f aca="false">ROUND(H35-H34,2)</f>
        <v>0</v>
      </c>
      <c r="I36" s="16" t="n">
        <f aca="false">MAX(MAX(C36:H36),-MIN(C36:H36))</f>
        <v>-0</v>
      </c>
    </row>
    <row r="37" customFormat="false" ht="15" hidden="false" customHeight="false" outlineLevel="0" collapsed="false">
      <c r="A37" s="4" t="s">
        <v>67</v>
      </c>
      <c r="B37" s="2" t="s">
        <v>419</v>
      </c>
      <c r="C37" s="25" t="n">
        <v>9.1</v>
      </c>
      <c r="D37" s="25" t="n">
        <v>9.61</v>
      </c>
      <c r="E37" s="25" t="n">
        <v>12.19</v>
      </c>
      <c r="F37" s="25" t="n">
        <v>12.73</v>
      </c>
      <c r="G37" s="25" t="n">
        <v>11.56</v>
      </c>
      <c r="H37" s="25" t="n">
        <v>12.67</v>
      </c>
    </row>
    <row r="38" customFormat="false" ht="15" hidden="false" customHeight="false" outlineLevel="0" collapsed="false">
      <c r="A38" s="4"/>
      <c r="B38" s="2" t="s">
        <v>420</v>
      </c>
      <c r="C38" s="9" t="n">
        <f aca="false">MIS!B20</f>
        <v>9.1</v>
      </c>
      <c r="D38" s="9" t="n">
        <f aca="false">MIS!C20</f>
        <v>9.61</v>
      </c>
      <c r="E38" s="9" t="n">
        <f aca="false">MIS!D20</f>
        <v>12.19</v>
      </c>
      <c r="F38" s="9" t="n">
        <f aca="false">MIS!F20</f>
        <v>12.73</v>
      </c>
      <c r="G38" s="9" t="n">
        <f aca="false">MIS!G20</f>
        <v>11.56</v>
      </c>
      <c r="H38" s="9" t="n">
        <f aca="false">MIS!H20</f>
        <v>12.67</v>
      </c>
    </row>
    <row r="39" customFormat="false" ht="15" hidden="false" customHeight="false" outlineLevel="0" collapsed="false">
      <c r="A39" s="4"/>
      <c r="B39" s="2" t="s">
        <v>421</v>
      </c>
      <c r="C39" s="9" t="n">
        <f aca="false">ROUND(C38-C37,2)</f>
        <v>0</v>
      </c>
      <c r="D39" s="9" t="n">
        <f aca="false">ROUND(D38-D37,2)</f>
        <v>0</v>
      </c>
      <c r="E39" s="9" t="n">
        <f aca="false">ROUND(E38-E37,2)</f>
        <v>0</v>
      </c>
      <c r="F39" s="9" t="n">
        <f aca="false">ROUND(F38-F37,2)</f>
        <v>0</v>
      </c>
      <c r="G39" s="9" t="n">
        <f aca="false">ROUND(G38-G37,2)</f>
        <v>0</v>
      </c>
      <c r="H39" s="9" t="n">
        <f aca="false">ROUND(H38-H37,2)</f>
        <v>0</v>
      </c>
      <c r="I39" s="16" t="n">
        <f aca="false">MAX(MAX(C39:H39),-MIN(C39:H39))</f>
        <v>-0</v>
      </c>
    </row>
    <row r="40" customFormat="false" ht="15" hidden="false" customHeight="false" outlineLevel="0" collapsed="false">
      <c r="A40" s="4" t="s">
        <v>68</v>
      </c>
      <c r="B40" s="2" t="s">
        <v>419</v>
      </c>
      <c r="C40" s="25" t="n">
        <v>99.34</v>
      </c>
      <c r="D40" s="25" t="n">
        <v>112.39</v>
      </c>
      <c r="E40" s="25" t="n">
        <v>151.18</v>
      </c>
      <c r="F40" s="25" t="n">
        <v>213.57</v>
      </c>
      <c r="G40" s="25" t="n">
        <v>182.23</v>
      </c>
      <c r="H40" s="25" t="n">
        <v>156.3</v>
      </c>
    </row>
    <row r="41" customFormat="false" ht="15" hidden="false" customHeight="false" outlineLevel="0" collapsed="false">
      <c r="A41" s="4"/>
      <c r="B41" s="2" t="s">
        <v>420</v>
      </c>
      <c r="C41" s="9" t="n">
        <f aca="false">MIS!B21</f>
        <v>99.34</v>
      </c>
      <c r="D41" s="9" t="n">
        <f aca="false">MIS!C21</f>
        <v>112.39</v>
      </c>
      <c r="E41" s="9" t="n">
        <f aca="false">MIS!D21</f>
        <v>151.18</v>
      </c>
      <c r="F41" s="9" t="n">
        <f aca="false">MIS!F21</f>
        <v>213.57</v>
      </c>
      <c r="G41" s="9" t="n">
        <f aca="false">MIS!G21</f>
        <v>182.23</v>
      </c>
      <c r="H41" s="9" t="n">
        <f aca="false">MIS!H21</f>
        <v>156.3</v>
      </c>
    </row>
    <row r="42" customFormat="false" ht="15" hidden="false" customHeight="false" outlineLevel="0" collapsed="false">
      <c r="A42" s="4"/>
      <c r="B42" s="2" t="s">
        <v>421</v>
      </c>
      <c r="C42" s="9" t="n">
        <f aca="false">ROUND(C41-C40,2)</f>
        <v>0</v>
      </c>
      <c r="D42" s="9" t="n">
        <f aca="false">ROUND(D41-D40,2)</f>
        <v>0</v>
      </c>
      <c r="E42" s="9" t="n">
        <f aca="false">ROUND(E41-E40,2)</f>
        <v>0</v>
      </c>
      <c r="F42" s="9" t="n">
        <f aca="false">ROUND(F41-F40,2)</f>
        <v>0</v>
      </c>
      <c r="G42" s="9" t="n">
        <f aca="false">ROUND(G41-G40,2)</f>
        <v>0</v>
      </c>
      <c r="H42" s="9" t="n">
        <f aca="false">ROUND(H41-H40,2)</f>
        <v>0</v>
      </c>
      <c r="I42" s="16" t="n">
        <f aca="false">MAX(MAX(C42:H42),-MIN(C42:H42))</f>
        <v>-0</v>
      </c>
    </row>
    <row r="43" customFormat="false" ht="15" hidden="false" customHeight="false" outlineLevel="0" collapsed="false">
      <c r="A43" s="4" t="s">
        <v>69</v>
      </c>
      <c r="B43" s="2" t="s">
        <v>419</v>
      </c>
      <c r="C43" s="25" t="n">
        <v>13.06</v>
      </c>
      <c r="D43" s="25" t="n">
        <v>35.85</v>
      </c>
      <c r="E43" s="25" t="n">
        <v>51.28</v>
      </c>
      <c r="F43" s="25" t="n">
        <v>58.26</v>
      </c>
      <c r="G43" s="25" t="n">
        <v>50.51</v>
      </c>
      <c r="H43" s="25" t="n">
        <v>66.84</v>
      </c>
    </row>
    <row r="44" customFormat="false" ht="15" hidden="false" customHeight="false" outlineLevel="0" collapsed="false">
      <c r="A44" s="4"/>
      <c r="B44" s="2" t="s">
        <v>420</v>
      </c>
      <c r="C44" s="9" t="n">
        <f aca="false">MIS!B22</f>
        <v>13.06</v>
      </c>
      <c r="D44" s="9" t="n">
        <f aca="false">MIS!C22</f>
        <v>35.85</v>
      </c>
      <c r="E44" s="9" t="n">
        <f aca="false">MIS!D22</f>
        <v>51.28</v>
      </c>
      <c r="F44" s="9" t="n">
        <f aca="false">MIS!F22</f>
        <v>58.26</v>
      </c>
      <c r="G44" s="9" t="n">
        <f aca="false">MIS!G22</f>
        <v>50.51</v>
      </c>
      <c r="H44" s="9" t="n">
        <f aca="false">MIS!H22</f>
        <v>66.84</v>
      </c>
    </row>
    <row r="45" customFormat="false" ht="15" hidden="false" customHeight="false" outlineLevel="0" collapsed="false">
      <c r="A45" s="4"/>
      <c r="B45" s="2" t="s">
        <v>421</v>
      </c>
      <c r="C45" s="9" t="n">
        <f aca="false">ROUND(C44-C43,2)</f>
        <v>0</v>
      </c>
      <c r="D45" s="9" t="n">
        <f aca="false">ROUND(D44-D43,2)</f>
        <v>0</v>
      </c>
      <c r="E45" s="9" t="n">
        <f aca="false">ROUND(E44-E43,2)</f>
        <v>0</v>
      </c>
      <c r="F45" s="9" t="n">
        <f aca="false">ROUND(F44-F43,2)</f>
        <v>0</v>
      </c>
      <c r="G45" s="9" t="n">
        <f aca="false">ROUND(G44-G43,2)</f>
        <v>0</v>
      </c>
      <c r="H45" s="9" t="n">
        <f aca="false">ROUND(H44-H43,2)</f>
        <v>0</v>
      </c>
      <c r="I45" s="16" t="n">
        <f aca="false">MAX(MAX(C45:H45),-MIN(C45:H45))</f>
        <v>-0</v>
      </c>
    </row>
    <row r="46" customFormat="false" ht="15" hidden="false" customHeight="false" outlineLevel="0" collapsed="false">
      <c r="A46" s="4" t="s">
        <v>71</v>
      </c>
      <c r="B46" s="2" t="s">
        <v>419</v>
      </c>
      <c r="C46" s="25" t="n">
        <v>3.21</v>
      </c>
      <c r="D46" s="25" t="n">
        <v>4.13</v>
      </c>
      <c r="E46" s="25" t="n">
        <v>4.5</v>
      </c>
      <c r="F46" s="25" t="n">
        <v>7.52</v>
      </c>
      <c r="G46" s="25" t="n">
        <v>6.07</v>
      </c>
      <c r="H46" s="25" t="n">
        <v>7.13</v>
      </c>
    </row>
    <row r="47" customFormat="false" ht="15" hidden="false" customHeight="false" outlineLevel="0" collapsed="false">
      <c r="A47" s="4"/>
      <c r="B47" s="2" t="s">
        <v>420</v>
      </c>
      <c r="C47" s="9" t="n">
        <f aca="false">MIS!B25</f>
        <v>3.21</v>
      </c>
      <c r="D47" s="9" t="n">
        <f aca="false">MIS!C25</f>
        <v>4.13</v>
      </c>
      <c r="E47" s="9" t="n">
        <f aca="false">MIS!D25</f>
        <v>4.5</v>
      </c>
      <c r="F47" s="9" t="n">
        <f aca="false">MIS!F25</f>
        <v>7.52</v>
      </c>
      <c r="G47" s="9" t="n">
        <f aca="false">MIS!G25</f>
        <v>6.07</v>
      </c>
      <c r="H47" s="9" t="n">
        <f aca="false">MIS!H25</f>
        <v>7.13</v>
      </c>
    </row>
    <row r="48" customFormat="false" ht="15" hidden="false" customHeight="false" outlineLevel="0" collapsed="false">
      <c r="A48" s="4"/>
      <c r="B48" s="2" t="s">
        <v>421</v>
      </c>
      <c r="C48" s="9" t="n">
        <f aca="false">ROUND(C47-C46,2)</f>
        <v>0</v>
      </c>
      <c r="D48" s="9" t="n">
        <f aca="false">ROUND(D47-D46,2)</f>
        <v>0</v>
      </c>
      <c r="E48" s="9" t="n">
        <f aca="false">ROUND(E47-E46,2)</f>
        <v>0</v>
      </c>
      <c r="F48" s="9" t="n">
        <f aca="false">ROUND(F47-F46,2)</f>
        <v>0</v>
      </c>
      <c r="G48" s="9" t="n">
        <f aca="false">ROUND(G47-G46,2)</f>
        <v>0</v>
      </c>
      <c r="H48" s="9" t="n">
        <f aca="false">ROUND(H47-H46,2)</f>
        <v>0</v>
      </c>
      <c r="I48" s="16" t="n">
        <f aca="false">MAX(MAX(C48:H48),-MIN(C48:H48))</f>
        <v>-0</v>
      </c>
    </row>
    <row r="49" customFormat="false" ht="15" hidden="false" customHeight="false" outlineLevel="0" collapsed="false">
      <c r="A49" s="4" t="s">
        <v>72</v>
      </c>
      <c r="B49" s="2" t="s">
        <v>419</v>
      </c>
      <c r="C49" s="25" t="n">
        <v>1.38</v>
      </c>
      <c r="D49" s="25" t="n">
        <v>2.28</v>
      </c>
      <c r="E49" s="25" t="n">
        <v>2.31</v>
      </c>
      <c r="F49" s="25" t="n">
        <v>3.41</v>
      </c>
      <c r="G49" s="25" t="n">
        <v>2.28</v>
      </c>
      <c r="H49" s="25" t="n">
        <v>1.97</v>
      </c>
    </row>
    <row r="50" customFormat="false" ht="15" hidden="false" customHeight="false" outlineLevel="0" collapsed="false">
      <c r="A50" s="4"/>
      <c r="B50" s="2" t="s">
        <v>420</v>
      </c>
      <c r="C50" s="9" t="n">
        <f aca="false">MIS!B26</f>
        <v>1.38</v>
      </c>
      <c r="D50" s="9" t="n">
        <f aca="false">MIS!C26</f>
        <v>2.28</v>
      </c>
      <c r="E50" s="9" t="n">
        <f aca="false">MIS!D26</f>
        <v>2.31</v>
      </c>
      <c r="F50" s="9" t="n">
        <f aca="false">MIS!F26</f>
        <v>3.41</v>
      </c>
      <c r="G50" s="9" t="n">
        <f aca="false">MIS!G26</f>
        <v>2.28</v>
      </c>
      <c r="H50" s="9" t="n">
        <f aca="false">MIS!H26</f>
        <v>1.97</v>
      </c>
    </row>
    <row r="51" customFormat="false" ht="15" hidden="false" customHeight="false" outlineLevel="0" collapsed="false">
      <c r="A51" s="4"/>
      <c r="B51" s="2" t="s">
        <v>421</v>
      </c>
      <c r="C51" s="9" t="n">
        <f aca="false">ROUND(C50-C49,2)</f>
        <v>0</v>
      </c>
      <c r="D51" s="9" t="n">
        <f aca="false">ROUND(D50-D49,2)</f>
        <v>0</v>
      </c>
      <c r="E51" s="9" t="n">
        <f aca="false">ROUND(E50-E49,2)</f>
        <v>0</v>
      </c>
      <c r="F51" s="9" t="n">
        <f aca="false">ROUND(F50-F49,2)</f>
        <v>0</v>
      </c>
      <c r="G51" s="9" t="n">
        <f aca="false">ROUND(G50-G49,2)</f>
        <v>0</v>
      </c>
      <c r="H51" s="9" t="n">
        <f aca="false">ROUND(H50-H49,2)</f>
        <v>0</v>
      </c>
      <c r="I51" s="16" t="n">
        <f aca="false">MAX(MAX(C51:H51),-MIN(C51:H51))</f>
        <v>-0</v>
      </c>
    </row>
    <row r="52" customFormat="false" ht="15" hidden="false" customHeight="false" outlineLevel="0" collapsed="false">
      <c r="A52" s="4" t="s">
        <v>73</v>
      </c>
      <c r="B52" s="2" t="s">
        <v>419</v>
      </c>
      <c r="C52" s="25" t="n">
        <v>4.62</v>
      </c>
      <c r="D52" s="25" t="n">
        <v>5.7</v>
      </c>
      <c r="E52" s="25" t="n">
        <v>5.93</v>
      </c>
      <c r="F52" s="25" t="n">
        <v>5.44</v>
      </c>
      <c r="G52" s="25" t="n">
        <v>4.71</v>
      </c>
      <c r="H52" s="25" t="n">
        <v>6.92</v>
      </c>
    </row>
    <row r="53" customFormat="false" ht="15" hidden="false" customHeight="false" outlineLevel="0" collapsed="false">
      <c r="A53" s="4"/>
      <c r="B53" s="2" t="s">
        <v>420</v>
      </c>
      <c r="C53" s="9" t="n">
        <f aca="false">MIS!B27</f>
        <v>4.62</v>
      </c>
      <c r="D53" s="9" t="n">
        <f aca="false">MIS!C27</f>
        <v>5.7</v>
      </c>
      <c r="E53" s="9" t="n">
        <f aca="false">MIS!D27</f>
        <v>5.93</v>
      </c>
      <c r="F53" s="9" t="n">
        <f aca="false">MIS!F27</f>
        <v>5.44</v>
      </c>
      <c r="G53" s="9" t="n">
        <f aca="false">MIS!G27</f>
        <v>4.71</v>
      </c>
      <c r="H53" s="9" t="n">
        <f aca="false">MIS!H27</f>
        <v>6.92</v>
      </c>
    </row>
    <row r="54" customFormat="false" ht="15" hidden="false" customHeight="false" outlineLevel="0" collapsed="false">
      <c r="A54" s="4"/>
      <c r="B54" s="2" t="s">
        <v>421</v>
      </c>
      <c r="C54" s="9" t="n">
        <f aca="false">ROUND(C53-C52,2)</f>
        <v>0</v>
      </c>
      <c r="D54" s="9" t="n">
        <f aca="false">ROUND(D53-D52,2)</f>
        <v>0</v>
      </c>
      <c r="E54" s="9" t="n">
        <f aca="false">ROUND(E53-E52,2)</f>
        <v>0</v>
      </c>
      <c r="F54" s="9" t="n">
        <f aca="false">ROUND(F53-F52,2)</f>
        <v>0</v>
      </c>
      <c r="G54" s="9" t="n">
        <f aca="false">ROUND(G53-G52,2)</f>
        <v>0</v>
      </c>
      <c r="H54" s="9" t="n">
        <f aca="false">ROUND(H53-H52,2)</f>
        <v>0</v>
      </c>
      <c r="I54" s="16" t="n">
        <f aca="false">MAX(MAX(C54:H54),-MIN(C54:H54))</f>
        <v>-0</v>
      </c>
    </row>
    <row r="55" customFormat="false" ht="15" hidden="false" customHeight="false" outlineLevel="0" collapsed="false">
      <c r="A55" s="4" t="s">
        <v>74</v>
      </c>
      <c r="B55" s="2" t="s">
        <v>419</v>
      </c>
      <c r="C55" s="25" t="n">
        <v>15.91</v>
      </c>
      <c r="D55" s="25" t="n">
        <v>12.37</v>
      </c>
      <c r="E55" s="25" t="n">
        <v>14.85</v>
      </c>
      <c r="F55" s="25" t="n">
        <v>16.85</v>
      </c>
      <c r="G55" s="25" t="n">
        <v>15.87</v>
      </c>
      <c r="H55" s="25" t="n">
        <v>16.61</v>
      </c>
    </row>
    <row r="56" customFormat="false" ht="15" hidden="false" customHeight="false" outlineLevel="0" collapsed="false">
      <c r="A56" s="4"/>
      <c r="B56" s="2" t="s">
        <v>420</v>
      </c>
      <c r="C56" s="9" t="n">
        <f aca="false">MIS!B28</f>
        <v>15.91</v>
      </c>
      <c r="D56" s="9" t="n">
        <f aca="false">MIS!C28</f>
        <v>12.37</v>
      </c>
      <c r="E56" s="9" t="n">
        <f aca="false">MIS!D28</f>
        <v>14.85</v>
      </c>
      <c r="F56" s="9" t="n">
        <f aca="false">MIS!F28</f>
        <v>16.85</v>
      </c>
      <c r="G56" s="9" t="n">
        <f aca="false">MIS!G28</f>
        <v>15.87</v>
      </c>
      <c r="H56" s="9" t="n">
        <f aca="false">MIS!H28</f>
        <v>16.61</v>
      </c>
    </row>
    <row r="57" customFormat="false" ht="15" hidden="false" customHeight="false" outlineLevel="0" collapsed="false">
      <c r="A57" s="4"/>
      <c r="B57" s="2" t="s">
        <v>421</v>
      </c>
      <c r="C57" s="9" t="n">
        <f aca="false">ROUND(C56-C55,2)</f>
        <v>0</v>
      </c>
      <c r="D57" s="9" t="n">
        <f aca="false">ROUND(D56-D55,2)</f>
        <v>0</v>
      </c>
      <c r="E57" s="9" t="n">
        <f aca="false">ROUND(E56-E55,2)</f>
        <v>0</v>
      </c>
      <c r="F57" s="9" t="n">
        <f aca="false">ROUND(F56-F55,2)</f>
        <v>0</v>
      </c>
      <c r="G57" s="9" t="n">
        <f aca="false">ROUND(G56-G55,2)</f>
        <v>0</v>
      </c>
      <c r="H57" s="9" t="n">
        <f aca="false">ROUND(H56-H55,2)</f>
        <v>0</v>
      </c>
      <c r="I57" s="16" t="n">
        <f aca="false">MAX(MAX(C57:H57),-MIN(C57:H57))</f>
        <v>-0</v>
      </c>
    </row>
    <row r="58" customFormat="false" ht="15" hidden="false" customHeight="false" outlineLevel="0" collapsed="false">
      <c r="A58" s="4" t="s">
        <v>75</v>
      </c>
      <c r="B58" s="2" t="s">
        <v>419</v>
      </c>
      <c r="C58" s="25" t="n">
        <v>5.58</v>
      </c>
      <c r="D58" s="25" t="n">
        <v>5.88</v>
      </c>
      <c r="E58" s="25" t="n">
        <v>5.56</v>
      </c>
      <c r="F58" s="25" t="n">
        <v>5.53</v>
      </c>
      <c r="G58" s="25" t="n">
        <v>7.21</v>
      </c>
      <c r="H58" s="25" t="n">
        <v>7.25</v>
      </c>
    </row>
    <row r="59" customFormat="false" ht="15" hidden="false" customHeight="false" outlineLevel="0" collapsed="false">
      <c r="A59" s="4"/>
      <c r="B59" s="2" t="s">
        <v>420</v>
      </c>
      <c r="C59" s="9" t="n">
        <f aca="false">MIS!B29</f>
        <v>5.58</v>
      </c>
      <c r="D59" s="9" t="n">
        <f aca="false">MIS!C29</f>
        <v>5.88</v>
      </c>
      <c r="E59" s="9" t="n">
        <f aca="false">MIS!D29</f>
        <v>5.56</v>
      </c>
      <c r="F59" s="9" t="n">
        <f aca="false">MIS!F29</f>
        <v>5.53</v>
      </c>
      <c r="G59" s="9" t="n">
        <f aca="false">MIS!G29</f>
        <v>7.21</v>
      </c>
      <c r="H59" s="9" t="n">
        <f aca="false">MIS!H29</f>
        <v>7.25</v>
      </c>
    </row>
    <row r="60" customFormat="false" ht="15" hidden="false" customHeight="false" outlineLevel="0" collapsed="false">
      <c r="A60" s="4"/>
      <c r="B60" s="2" t="s">
        <v>421</v>
      </c>
      <c r="C60" s="9" t="n">
        <f aca="false">ROUND(C59-C58,2)</f>
        <v>0</v>
      </c>
      <c r="D60" s="9" t="n">
        <f aca="false">ROUND(D59-D58,2)</f>
        <v>0</v>
      </c>
      <c r="E60" s="9" t="n">
        <f aca="false">ROUND(E59-E58,2)</f>
        <v>0</v>
      </c>
      <c r="F60" s="9" t="n">
        <f aca="false">ROUND(F59-F58,2)</f>
        <v>0</v>
      </c>
      <c r="G60" s="9" t="n">
        <f aca="false">ROUND(G59-G58,2)</f>
        <v>0</v>
      </c>
      <c r="H60" s="9" t="n">
        <f aca="false">ROUND(H59-H58,2)</f>
        <v>0</v>
      </c>
      <c r="I60" s="16" t="n">
        <f aca="false">MAX(MAX(C60:H60),-MIN(C60:H60))</f>
        <v>-0</v>
      </c>
    </row>
    <row r="61" customFormat="false" ht="15" hidden="false" customHeight="false" outlineLevel="0" collapsed="false">
      <c r="A61" s="4" t="s">
        <v>76</v>
      </c>
      <c r="B61" s="2" t="s">
        <v>419</v>
      </c>
      <c r="C61" s="25" t="n">
        <v>0</v>
      </c>
      <c r="D61" s="25" t="n">
        <v>0</v>
      </c>
      <c r="E61" s="25" t="n">
        <v>0</v>
      </c>
      <c r="F61" s="25" t="n">
        <v>0</v>
      </c>
      <c r="G61" s="25" t="n">
        <v>0</v>
      </c>
      <c r="H61" s="25" t="n">
        <v>3.22</v>
      </c>
    </row>
    <row r="62" customFormat="false" ht="15" hidden="false" customHeight="false" outlineLevel="0" collapsed="false">
      <c r="A62" s="4"/>
      <c r="B62" s="2" t="s">
        <v>420</v>
      </c>
      <c r="C62" s="9" t="n">
        <f aca="false">MIS!B30</f>
        <v>0</v>
      </c>
      <c r="D62" s="9" t="n">
        <f aca="false">MIS!C30</f>
        <v>0</v>
      </c>
      <c r="E62" s="9" t="n">
        <f aca="false">MIS!D30</f>
        <v>0</v>
      </c>
      <c r="F62" s="9" t="n">
        <f aca="false">MIS!F30</f>
        <v>0</v>
      </c>
      <c r="G62" s="9" t="n">
        <f aca="false">MIS!G30</f>
        <v>0</v>
      </c>
      <c r="H62" s="9" t="n">
        <f aca="false">MIS!H30</f>
        <v>3.22</v>
      </c>
    </row>
    <row r="63" customFormat="false" ht="15" hidden="false" customHeight="false" outlineLevel="0" collapsed="false">
      <c r="A63" s="4"/>
      <c r="B63" s="2" t="s">
        <v>421</v>
      </c>
      <c r="C63" s="9" t="n">
        <f aca="false">ROUND(C62-C61,2)</f>
        <v>0</v>
      </c>
      <c r="D63" s="9" t="n">
        <f aca="false">ROUND(D62-D61,2)</f>
        <v>0</v>
      </c>
      <c r="E63" s="9" t="n">
        <f aca="false">ROUND(E62-E61,2)</f>
        <v>0</v>
      </c>
      <c r="F63" s="9" t="n">
        <f aca="false">ROUND(F62-F61,2)</f>
        <v>0</v>
      </c>
      <c r="G63" s="9" t="n">
        <f aca="false">ROUND(G62-G61,2)</f>
        <v>0</v>
      </c>
      <c r="H63" s="9" t="n">
        <f aca="false">ROUND(H62-H61,2)</f>
        <v>0</v>
      </c>
      <c r="I63" s="16" t="n">
        <f aca="false">MAX(MAX(C63:H63),-MIN(C63:H63))</f>
        <v>-0</v>
      </c>
    </row>
    <row r="64" customFormat="false" ht="15" hidden="false" customHeight="false" outlineLevel="0" collapsed="false">
      <c r="A64" s="4" t="s">
        <v>77</v>
      </c>
      <c r="B64" s="2" t="s">
        <v>419</v>
      </c>
      <c r="C64" s="25" t="n">
        <v>30.7</v>
      </c>
      <c r="D64" s="25" t="n">
        <v>30.36</v>
      </c>
      <c r="E64" s="25" t="n">
        <v>33.15</v>
      </c>
      <c r="F64" s="25" t="n">
        <v>38.75</v>
      </c>
      <c r="G64" s="25" t="n">
        <v>36.14</v>
      </c>
      <c r="H64" s="25" t="n">
        <v>43.1</v>
      </c>
    </row>
    <row r="65" customFormat="false" ht="15" hidden="false" customHeight="false" outlineLevel="0" collapsed="false">
      <c r="A65" s="4"/>
      <c r="B65" s="2" t="s">
        <v>420</v>
      </c>
      <c r="C65" s="9" t="n">
        <f aca="false">MIS!B31</f>
        <v>30.7</v>
      </c>
      <c r="D65" s="9" t="n">
        <f aca="false">MIS!C31</f>
        <v>30.36</v>
      </c>
      <c r="E65" s="9" t="n">
        <f aca="false">MIS!D31</f>
        <v>33.15</v>
      </c>
      <c r="F65" s="9" t="n">
        <f aca="false">MIS!F31</f>
        <v>38.75</v>
      </c>
      <c r="G65" s="9" t="n">
        <f aca="false">MIS!G31</f>
        <v>36.14</v>
      </c>
      <c r="H65" s="9" t="n">
        <f aca="false">MIS!H31</f>
        <v>43.1</v>
      </c>
    </row>
    <row r="66" customFormat="false" ht="15" hidden="false" customHeight="false" outlineLevel="0" collapsed="false">
      <c r="A66" s="4"/>
      <c r="B66" s="2" t="s">
        <v>421</v>
      </c>
      <c r="C66" s="9" t="n">
        <f aca="false">ROUND(C65-C64,2)</f>
        <v>0</v>
      </c>
      <c r="D66" s="9" t="n">
        <f aca="false">ROUND(D65-D64,2)</f>
        <v>0</v>
      </c>
      <c r="E66" s="9" t="n">
        <f aca="false">ROUND(E65-E64,2)</f>
        <v>0</v>
      </c>
      <c r="F66" s="9" t="n">
        <f aca="false">ROUND(F65-F64,2)</f>
        <v>0</v>
      </c>
      <c r="G66" s="9" t="n">
        <f aca="false">ROUND(G65-G64,2)</f>
        <v>0</v>
      </c>
      <c r="H66" s="9" t="n">
        <f aca="false">ROUND(H65-H64,2)</f>
        <v>0</v>
      </c>
      <c r="I66" s="16" t="n">
        <f aca="false">MAX(MAX(C66:H66),-MIN(C66:H66))</f>
        <v>-0</v>
      </c>
    </row>
    <row r="67" customFormat="false" ht="15" hidden="false" customHeight="false" outlineLevel="0" collapsed="false">
      <c r="A67" s="4" t="s">
        <v>78</v>
      </c>
      <c r="B67" s="2" t="s">
        <v>419</v>
      </c>
      <c r="C67" s="25" t="n">
        <v>-17.64</v>
      </c>
      <c r="D67" s="25" t="n">
        <v>5.49</v>
      </c>
      <c r="E67" s="25" t="n">
        <v>18.13</v>
      </c>
      <c r="F67" s="25" t="n">
        <v>19.51</v>
      </c>
      <c r="G67" s="25" t="n">
        <v>14.37</v>
      </c>
      <c r="H67" s="25" t="n">
        <v>23.74</v>
      </c>
    </row>
    <row r="68" customFormat="false" ht="15" hidden="false" customHeight="false" outlineLevel="0" collapsed="false">
      <c r="A68" s="4"/>
      <c r="B68" s="2" t="s">
        <v>420</v>
      </c>
      <c r="C68" s="9" t="n">
        <f aca="false">MIS!B32</f>
        <v>-17.64</v>
      </c>
      <c r="D68" s="9" t="n">
        <f aca="false">MIS!C32</f>
        <v>5.49</v>
      </c>
      <c r="E68" s="9" t="n">
        <f aca="false">MIS!D32</f>
        <v>18.13</v>
      </c>
      <c r="F68" s="9" t="n">
        <f aca="false">MIS!F32</f>
        <v>19.51</v>
      </c>
      <c r="G68" s="9" t="n">
        <f aca="false">MIS!G32</f>
        <v>14.37</v>
      </c>
      <c r="H68" s="9" t="n">
        <f aca="false">MIS!H32</f>
        <v>23.74</v>
      </c>
    </row>
    <row r="69" customFormat="false" ht="15" hidden="false" customHeight="false" outlineLevel="0" collapsed="false">
      <c r="A69" s="4"/>
      <c r="B69" s="2" t="s">
        <v>421</v>
      </c>
      <c r="C69" s="9" t="n">
        <f aca="false">ROUND(C68-C67,2)</f>
        <v>0</v>
      </c>
      <c r="D69" s="9" t="n">
        <f aca="false">ROUND(D68-D67,2)</f>
        <v>0</v>
      </c>
      <c r="E69" s="9" t="n">
        <f aca="false">ROUND(E68-E67,2)</f>
        <v>0</v>
      </c>
      <c r="F69" s="9" t="n">
        <f aca="false">ROUND(F68-F67,2)</f>
        <v>0</v>
      </c>
      <c r="G69" s="9" t="n">
        <f aca="false">ROUND(G68-G67,2)</f>
        <v>0</v>
      </c>
      <c r="H69" s="9" t="n">
        <f aca="false">ROUND(H68-H67,2)</f>
        <v>0</v>
      </c>
      <c r="I69" s="16" t="n">
        <f aca="false">MAX(MAX(C69:H69),-MIN(C69:H69))</f>
        <v>-0</v>
      </c>
    </row>
    <row r="70" customFormat="false" ht="15" hidden="false" customHeight="false" outlineLevel="0" collapsed="false">
      <c r="A70" s="4" t="s">
        <v>82</v>
      </c>
      <c r="B70" s="2" t="s">
        <v>419</v>
      </c>
      <c r="C70" s="25" t="n">
        <v>6.89</v>
      </c>
      <c r="D70" s="25" t="n">
        <v>6.89</v>
      </c>
      <c r="E70" s="25" t="n">
        <v>6.89</v>
      </c>
      <c r="F70" s="25" t="n">
        <v>6.95</v>
      </c>
      <c r="G70" s="25" t="n">
        <v>7.91</v>
      </c>
      <c r="H70" s="25" t="n">
        <v>7.39</v>
      </c>
    </row>
    <row r="71" customFormat="false" ht="15" hidden="false" customHeight="false" outlineLevel="0" collapsed="false">
      <c r="A71" s="4"/>
      <c r="B71" s="2" t="s">
        <v>420</v>
      </c>
      <c r="C71" s="9" t="n">
        <f aca="false">MIS!B36</f>
        <v>6.89</v>
      </c>
      <c r="D71" s="9" t="n">
        <f aca="false">MIS!C36</f>
        <v>6.89</v>
      </c>
      <c r="E71" s="9" t="n">
        <f aca="false">MIS!D36</f>
        <v>6.89</v>
      </c>
      <c r="F71" s="9" t="n">
        <f aca="false">MIS!F36</f>
        <v>6.95</v>
      </c>
      <c r="G71" s="9" t="n">
        <f aca="false">MIS!G36</f>
        <v>7.91</v>
      </c>
      <c r="H71" s="9" t="n">
        <f aca="false">MIS!H36</f>
        <v>7.39</v>
      </c>
    </row>
    <row r="72" customFormat="false" ht="15" hidden="false" customHeight="false" outlineLevel="0" collapsed="false">
      <c r="A72" s="4"/>
      <c r="B72" s="2" t="s">
        <v>421</v>
      </c>
      <c r="C72" s="9" t="n">
        <f aca="false">ROUND(C71-C70,2)</f>
        <v>0</v>
      </c>
      <c r="D72" s="9" t="n">
        <f aca="false">ROUND(D71-D70,2)</f>
        <v>0</v>
      </c>
      <c r="E72" s="9" t="n">
        <f aca="false">ROUND(E71-E70,2)</f>
        <v>0</v>
      </c>
      <c r="F72" s="9" t="n">
        <f aca="false">ROUND(F71-F70,2)</f>
        <v>0</v>
      </c>
      <c r="G72" s="9" t="n">
        <f aca="false">ROUND(G71-G70,2)</f>
        <v>0</v>
      </c>
      <c r="H72" s="9" t="n">
        <f aca="false">ROUND(H71-H70,2)</f>
        <v>0</v>
      </c>
      <c r="I72" s="16" t="n">
        <f aca="false">MAX(MAX(C72:H72),-MIN(C72:H72))</f>
        <v>-0</v>
      </c>
    </row>
    <row r="73" customFormat="false" ht="15" hidden="false" customHeight="false" outlineLevel="0" collapsed="false">
      <c r="A73" s="4" t="s">
        <v>83</v>
      </c>
      <c r="B73" s="2" t="s">
        <v>419</v>
      </c>
      <c r="C73" s="25" t="n">
        <v>-10.75</v>
      </c>
      <c r="D73" s="25" t="n">
        <v>12.38</v>
      </c>
      <c r="E73" s="25" t="n">
        <v>25.02</v>
      </c>
      <c r="F73" s="25" t="n">
        <v>26.46</v>
      </c>
      <c r="G73" s="25" t="n">
        <v>22.28</v>
      </c>
      <c r="H73" s="25" t="n">
        <v>31.13</v>
      </c>
    </row>
    <row r="74" customFormat="false" ht="15" hidden="false" customHeight="false" outlineLevel="0" collapsed="false">
      <c r="A74" s="4"/>
      <c r="B74" s="2" t="s">
        <v>420</v>
      </c>
      <c r="C74" s="9" t="n">
        <f aca="false">MIS!B37</f>
        <v>-10.75</v>
      </c>
      <c r="D74" s="9" t="n">
        <f aca="false">MIS!C37</f>
        <v>12.38</v>
      </c>
      <c r="E74" s="9" t="n">
        <f aca="false">MIS!D37</f>
        <v>25.02</v>
      </c>
      <c r="F74" s="9" t="n">
        <f aca="false">MIS!F37</f>
        <v>26.46</v>
      </c>
      <c r="G74" s="9" t="n">
        <f aca="false">MIS!G37</f>
        <v>22.28</v>
      </c>
      <c r="H74" s="9" t="n">
        <f aca="false">MIS!H37</f>
        <v>31.13</v>
      </c>
    </row>
    <row r="75" customFormat="false" ht="15" hidden="false" customHeight="false" outlineLevel="0" collapsed="false">
      <c r="A75" s="4"/>
      <c r="B75" s="2" t="s">
        <v>421</v>
      </c>
      <c r="C75" s="9" t="n">
        <f aca="false">ROUND(C74-C73,2)</f>
        <v>0</v>
      </c>
      <c r="D75" s="9" t="n">
        <f aca="false">ROUND(D74-D73,2)</f>
        <v>0</v>
      </c>
      <c r="E75" s="9" t="n">
        <f aca="false">ROUND(E74-E73,2)</f>
        <v>0</v>
      </c>
      <c r="F75" s="9" t="n">
        <f aca="false">ROUND(F74-F73,2)</f>
        <v>0</v>
      </c>
      <c r="G75" s="9" t="n">
        <f aca="false">ROUND(G74-G73,2)</f>
        <v>0</v>
      </c>
      <c r="H75" s="9" t="n">
        <f aca="false">ROUND(H74-H73,2)</f>
        <v>0</v>
      </c>
      <c r="I75" s="16" t="n">
        <f aca="false">MAX(MAX(C75:H75),-MIN(C75:H75))</f>
        <v>-0</v>
      </c>
    </row>
    <row r="76" customFormat="false" ht="15" hidden="false" customHeight="false" outlineLevel="0" collapsed="false">
      <c r="A76" s="4" t="s">
        <v>86</v>
      </c>
      <c r="B76" s="2" t="s">
        <v>419</v>
      </c>
      <c r="C76" s="25" t="n">
        <v>-10.75</v>
      </c>
      <c r="D76" s="25" t="n">
        <v>12.38</v>
      </c>
      <c r="E76" s="25" t="n">
        <v>25.02</v>
      </c>
      <c r="F76" s="25" t="n">
        <v>26.46</v>
      </c>
      <c r="G76" s="25" t="n">
        <v>22.28</v>
      </c>
      <c r="H76" s="25" t="n">
        <v>31.13</v>
      </c>
    </row>
    <row r="77" customFormat="false" ht="15" hidden="false" customHeight="false" outlineLevel="0" collapsed="false">
      <c r="A77" s="4"/>
      <c r="B77" s="2" t="s">
        <v>420</v>
      </c>
      <c r="C77" s="9" t="n">
        <f aca="false">MIS!B40</f>
        <v>-10.75</v>
      </c>
      <c r="D77" s="9" t="n">
        <f aca="false">MIS!C40</f>
        <v>12.38</v>
      </c>
      <c r="E77" s="9" t="n">
        <f aca="false">MIS!D40</f>
        <v>25.02</v>
      </c>
      <c r="F77" s="9" t="n">
        <f aca="false">MIS!F40</f>
        <v>26.46</v>
      </c>
      <c r="G77" s="9" t="n">
        <f aca="false">MIS!G40</f>
        <v>22.28</v>
      </c>
      <c r="H77" s="9" t="n">
        <f aca="false">MIS!H40</f>
        <v>31.13</v>
      </c>
    </row>
    <row r="78" customFormat="false" ht="15" hidden="false" customHeight="false" outlineLevel="0" collapsed="false">
      <c r="A78" s="4"/>
      <c r="B78" s="2" t="s">
        <v>421</v>
      </c>
      <c r="C78" s="9" t="n">
        <f aca="false">ROUND(C77-C76,2)</f>
        <v>0</v>
      </c>
      <c r="D78" s="9" t="n">
        <f aca="false">ROUND(D77-D76,2)</f>
        <v>0</v>
      </c>
      <c r="E78" s="9" t="n">
        <f aca="false">ROUND(E77-E76,2)</f>
        <v>0</v>
      </c>
      <c r="F78" s="9" t="n">
        <f aca="false">ROUND(F77-F76,2)</f>
        <v>0</v>
      </c>
      <c r="G78" s="9" t="n">
        <f aca="false">ROUND(G77-G76,2)</f>
        <v>0</v>
      </c>
      <c r="H78" s="9" t="n">
        <f aca="false">ROUND(H77-H76,2)</f>
        <v>0</v>
      </c>
      <c r="I78" s="16" t="n">
        <f aca="false">MAX(MAX(C78:H78),-MIN(C78:H78))</f>
        <v>-0</v>
      </c>
    </row>
    <row r="80" customFormat="false" ht="15" hidden="false" customHeight="false" outlineLevel="0" collapsed="false">
      <c r="A80" s="4" t="s">
        <v>422</v>
      </c>
      <c r="C80" s="16" t="n">
        <f aca="false">MAX(I4:I78)</f>
        <v>-0</v>
      </c>
    </row>
    <row r="81" customFormat="false" ht="15" hidden="false" customHeight="false" outlineLevel="0" collapsed="false">
      <c r="A81" s="4" t="s">
        <v>423</v>
      </c>
      <c r="C81" s="4" t="str">
        <f aca="false">IF(C80&lt;=0.02,"TIES TO PUBLISHED MIS","REVIEW VARIANCES")</f>
        <v>TIES TO PUBLISHED MIS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3" min="2" style="0" width="10.51"/>
  </cols>
  <sheetData>
    <row r="1" customFormat="false" ht="15" hidden="false" customHeight="false" outlineLevel="0" collapsed="false">
      <c r="A1" s="11" t="s">
        <v>424</v>
      </c>
    </row>
    <row r="3" customFormat="false" ht="15" hidden="false" customHeight="false" outlineLevel="0" collapsed="false">
      <c r="A3" s="4" t="s">
        <v>425</v>
      </c>
    </row>
    <row r="4" customFormat="false" ht="15" hidden="false" customHeight="false" outlineLevel="0" collapsed="false">
      <c r="A4" s="5" t="s">
        <v>35</v>
      </c>
      <c r="B4" s="5" t="s">
        <v>426</v>
      </c>
      <c r="C4" s="5" t="s">
        <v>427</v>
      </c>
      <c r="D4" s="5" t="s">
        <v>428</v>
      </c>
      <c r="E4" s="5" t="s">
        <v>39</v>
      </c>
      <c r="F4" s="5" t="s">
        <v>429</v>
      </c>
      <c r="G4" s="5" t="s">
        <v>430</v>
      </c>
      <c r="H4" s="5" t="s">
        <v>431</v>
      </c>
      <c r="I4" s="5" t="s">
        <v>43</v>
      </c>
      <c r="J4" s="5" t="s">
        <v>47</v>
      </c>
      <c r="K4" s="5" t="s">
        <v>51</v>
      </c>
      <c r="L4" s="5" t="s">
        <v>52</v>
      </c>
      <c r="M4" s="5" t="s">
        <v>432</v>
      </c>
    </row>
    <row r="5" customFormat="false" ht="15" hidden="false" customHeight="false" outlineLevel="0" collapsed="false">
      <c r="A5" s="0" t="s">
        <v>88</v>
      </c>
      <c r="B5" s="9" t="n">
        <f aca="false">MIS!B45</f>
        <v>33.56</v>
      </c>
      <c r="C5" s="9" t="n">
        <f aca="false">MIS!C45</f>
        <v>84.62</v>
      </c>
      <c r="D5" s="9" t="n">
        <f aca="false">MIS!D45</f>
        <v>83</v>
      </c>
      <c r="E5" s="9" t="n">
        <f aca="false">MIS!E45</f>
        <v>201.18</v>
      </c>
      <c r="F5" s="9" t="n">
        <f aca="false">MIS!F45</f>
        <v>84.62</v>
      </c>
      <c r="G5" s="9" t="n">
        <f aca="false">MIS!G45</f>
        <v>77.44</v>
      </c>
      <c r="H5" s="9" t="n">
        <f aca="false">MIS!H45</f>
        <v>105.48</v>
      </c>
      <c r="I5" s="9" t="n">
        <f aca="false">MIS!I45</f>
        <v>267.54</v>
      </c>
      <c r="J5" s="9" t="n">
        <f aca="false">MIS!M45</f>
        <v>0</v>
      </c>
      <c r="K5" s="9" t="n">
        <f aca="false">MIS!Q45</f>
        <v>0</v>
      </c>
      <c r="L5" s="9" t="n">
        <f aca="false">MIS!R45</f>
        <v>468.72</v>
      </c>
      <c r="M5" s="9" t="n">
        <f aca="false">L5/12</f>
        <v>39.06</v>
      </c>
    </row>
    <row r="6" customFormat="false" ht="15" hidden="false" customHeight="false" outlineLevel="0" collapsed="false">
      <c r="A6" s="0" t="s">
        <v>89</v>
      </c>
      <c r="B6" s="9" t="n">
        <f aca="false">MIS!B46</f>
        <v>50.44</v>
      </c>
      <c r="C6" s="9" t="n">
        <f aca="false">MIS!C46</f>
        <v>36.67</v>
      </c>
      <c r="D6" s="9" t="n">
        <f aca="false">MIS!D46</f>
        <v>106.07</v>
      </c>
      <c r="E6" s="9" t="n">
        <f aca="false">MIS!E46</f>
        <v>193.18</v>
      </c>
      <c r="F6" s="9" t="n">
        <f aca="false">MIS!F46</f>
        <v>36.67</v>
      </c>
      <c r="G6" s="9" t="n">
        <f aca="false">MIS!G46</f>
        <v>94.58</v>
      </c>
      <c r="H6" s="9" t="n">
        <f aca="false">MIS!H46</f>
        <v>89.34</v>
      </c>
      <c r="I6" s="9" t="n">
        <f aca="false">MIS!I46</f>
        <v>220.59</v>
      </c>
      <c r="J6" s="9" t="n">
        <f aca="false">MIS!M46</f>
        <v>0</v>
      </c>
      <c r="K6" s="9" t="n">
        <f aca="false">MIS!Q46</f>
        <v>0</v>
      </c>
      <c r="L6" s="9" t="n">
        <f aca="false">MIS!R46</f>
        <v>413.77</v>
      </c>
      <c r="M6" s="9" t="n">
        <f aca="false">L6/12</f>
        <v>34.4808333333333</v>
      </c>
    </row>
    <row r="7" customFormat="false" ht="15" hidden="false" customHeight="false" outlineLevel="0" collapsed="false">
      <c r="A7" s="0" t="s">
        <v>90</v>
      </c>
      <c r="B7" s="9" t="n">
        <f aca="false">MIS!B47</f>
        <v>5.73</v>
      </c>
      <c r="C7" s="9" t="n">
        <f aca="false">MIS!C47</f>
        <v>6.9</v>
      </c>
      <c r="D7" s="9" t="n">
        <f aca="false">MIS!D47</f>
        <v>9.39</v>
      </c>
      <c r="E7" s="9" t="n">
        <f aca="false">MIS!E47</f>
        <v>22.02</v>
      </c>
      <c r="F7" s="9" t="n">
        <f aca="false">MIS!F47</f>
        <v>6.9</v>
      </c>
      <c r="G7" s="9" t="n">
        <f aca="false">MIS!G47</f>
        <v>9.16</v>
      </c>
      <c r="H7" s="9" t="n">
        <f aca="false">MIS!H47</f>
        <v>9.04</v>
      </c>
      <c r="I7" s="9" t="n">
        <f aca="false">MIS!I47</f>
        <v>25.1</v>
      </c>
      <c r="J7" s="9" t="n">
        <f aca="false">MIS!M47</f>
        <v>0</v>
      </c>
      <c r="K7" s="9" t="n">
        <f aca="false">MIS!Q47</f>
        <v>0</v>
      </c>
      <c r="L7" s="9" t="n">
        <f aca="false">MIS!R47</f>
        <v>47.12</v>
      </c>
      <c r="M7" s="9" t="n">
        <f aca="false">L7/12</f>
        <v>3.92666666666667</v>
      </c>
    </row>
    <row r="8" customFormat="false" ht="15" hidden="false" customHeight="false" outlineLevel="0" collapsed="false">
      <c r="A8" s="0" t="s">
        <v>433</v>
      </c>
      <c r="B8" s="9" t="n">
        <f aca="false">MIS!B49</f>
        <v>127.48</v>
      </c>
      <c r="C8" s="9" t="n">
        <f aca="false">MIS!C49</f>
        <v>150.3</v>
      </c>
      <c r="D8" s="9" t="n">
        <f aca="false">MIS!D49</f>
        <v>206.48</v>
      </c>
      <c r="E8" s="9" t="n">
        <f aca="false">MIS!E49</f>
        <v>484.26</v>
      </c>
      <c r="F8" s="9" t="n">
        <f aca="false">MIS!F49</f>
        <v>275.62</v>
      </c>
      <c r="G8" s="9" t="n">
        <f aca="false">MIS!G49</f>
        <v>229.24</v>
      </c>
      <c r="H8" s="9" t="n">
        <f aca="false">MIS!H49</f>
        <v>217.78</v>
      </c>
      <c r="I8" s="9" t="n">
        <f aca="false">MIS!I49</f>
        <v>722.64</v>
      </c>
      <c r="J8" s="9" t="n">
        <f aca="false">MIS!M49</f>
        <v>0</v>
      </c>
      <c r="K8" s="9" t="n">
        <f aca="false">MIS!Q49</f>
        <v>0</v>
      </c>
      <c r="L8" s="9" t="n">
        <f aca="false">MIS!R49</f>
        <v>1206.9</v>
      </c>
      <c r="M8" s="9" t="n">
        <f aca="false">L8/12</f>
        <v>100.575</v>
      </c>
    </row>
    <row r="9" customFormat="false" ht="15" hidden="false" customHeight="false" outlineLevel="0" collapsed="false">
      <c r="A9" s="0" t="s">
        <v>434</v>
      </c>
      <c r="B9" s="9" t="n">
        <f aca="false">MIS!B50</f>
        <v>149.75</v>
      </c>
      <c r="C9" s="9" t="n">
        <f aca="false">MIS!C50</f>
        <v>126.8</v>
      </c>
      <c r="D9" s="9" t="n">
        <f aca="false">MIS!D50</f>
        <v>238.95</v>
      </c>
      <c r="E9" s="9" t="n">
        <f aca="false">MIS!E50</f>
        <v>515.5</v>
      </c>
      <c r="F9" s="9" t="n">
        <f aca="false">MIS!F50</f>
        <v>269.64</v>
      </c>
      <c r="G9" s="9" t="n">
        <f aca="false">MIS!G50</f>
        <v>302.91</v>
      </c>
      <c r="H9" s="9" t="n">
        <f aca="false">MIS!H50</f>
        <v>284.24</v>
      </c>
      <c r="I9" s="9" t="n">
        <f aca="false">MIS!I50</f>
        <v>856.79</v>
      </c>
      <c r="J9" s="9" t="n">
        <f aca="false">MIS!M50</f>
        <v>0</v>
      </c>
      <c r="K9" s="9" t="n">
        <f aca="false">MIS!Q50</f>
        <v>0</v>
      </c>
      <c r="L9" s="9" t="n">
        <f aca="false">MIS!R50</f>
        <v>1372.29</v>
      </c>
      <c r="M9" s="9" t="n">
        <f aca="false">L9/12</f>
        <v>114.3575</v>
      </c>
    </row>
    <row r="10" customFormat="false" ht="15" hidden="false" customHeight="false" outlineLevel="0" collapsed="false">
      <c r="A10" s="0" t="s">
        <v>94</v>
      </c>
      <c r="B10" s="9" t="n">
        <f aca="false">MIS!B51</f>
        <v>-10.75</v>
      </c>
      <c r="C10" s="9" t="n">
        <f aca="false">MIS!C51</f>
        <v>12.38</v>
      </c>
      <c r="D10" s="9" t="n">
        <f aca="false">MIS!D51</f>
        <v>25.02</v>
      </c>
      <c r="E10" s="9" t="n">
        <f aca="false">MIS!E51</f>
        <v>26.65</v>
      </c>
      <c r="F10" s="9" t="n">
        <f aca="false">MIS!F51</f>
        <v>26.46</v>
      </c>
      <c r="G10" s="9" t="n">
        <f aca="false">MIS!G51</f>
        <v>22.28</v>
      </c>
      <c r="H10" s="9" t="n">
        <f aca="false">MIS!H51</f>
        <v>31.13</v>
      </c>
      <c r="I10" s="9" t="n">
        <f aca="false">MIS!I51</f>
        <v>79.87</v>
      </c>
      <c r="J10" s="9" t="n">
        <f aca="false">MIS!M51</f>
        <v>0</v>
      </c>
      <c r="K10" s="9" t="n">
        <f aca="false">MIS!Q51</f>
        <v>0</v>
      </c>
      <c r="L10" s="9" t="n">
        <f aca="false">MIS!R51</f>
        <v>106.52</v>
      </c>
      <c r="M10" s="9" t="n">
        <f aca="false">L10/12</f>
        <v>8.87666666666666</v>
      </c>
    </row>
    <row r="11" customFormat="false" ht="15" hidden="false" customHeight="false" outlineLevel="0" collapsed="false">
      <c r="A11" s="0" t="s">
        <v>435</v>
      </c>
      <c r="B11" s="9" t="n">
        <f aca="false">MIS!B52</f>
        <v>-17.64</v>
      </c>
      <c r="C11" s="9" t="n">
        <f aca="false">MIS!C52</f>
        <v>5.49</v>
      </c>
      <c r="D11" s="9" t="n">
        <f aca="false">MIS!D52</f>
        <v>18.13</v>
      </c>
      <c r="E11" s="9" t="n">
        <f aca="false">MIS!E52</f>
        <v>5.97999999999998</v>
      </c>
      <c r="F11" s="9" t="n">
        <f aca="false">MIS!F52</f>
        <v>19.51</v>
      </c>
      <c r="G11" s="9" t="n">
        <f aca="false">MIS!G52</f>
        <v>14.37</v>
      </c>
      <c r="H11" s="9" t="n">
        <f aca="false">MIS!H52</f>
        <v>23.74</v>
      </c>
      <c r="I11" s="9" t="n">
        <f aca="false">MIS!I52</f>
        <v>57.62</v>
      </c>
      <c r="J11" s="9" t="n">
        <f aca="false">MIS!M52</f>
        <v>0</v>
      </c>
      <c r="K11" s="9" t="n">
        <f aca="false">MIS!Q52</f>
        <v>0</v>
      </c>
      <c r="L11" s="9" t="n">
        <f aca="false">MIS!R52</f>
        <v>63.6</v>
      </c>
      <c r="M11" s="9" t="n">
        <f aca="false">L11/12</f>
        <v>5.3</v>
      </c>
    </row>
    <row r="12" customFormat="false" ht="15" hidden="false" customHeight="false" outlineLevel="0" collapsed="false">
      <c r="A12" s="0" t="s">
        <v>436</v>
      </c>
      <c r="B12" s="9" t="n">
        <f aca="false">MIS!B53</f>
        <v>6.89</v>
      </c>
      <c r="C12" s="9" t="n">
        <f aca="false">MIS!C53</f>
        <v>6.89</v>
      </c>
      <c r="D12" s="9" t="n">
        <f aca="false">MIS!D53</f>
        <v>6.89</v>
      </c>
      <c r="E12" s="9" t="n">
        <f aca="false">MIS!E53</f>
        <v>20.67</v>
      </c>
      <c r="F12" s="9" t="n">
        <f aca="false">MIS!F53</f>
        <v>6.95</v>
      </c>
      <c r="G12" s="9" t="n">
        <f aca="false">MIS!G53</f>
        <v>7.91</v>
      </c>
      <c r="H12" s="9" t="n">
        <f aca="false">MIS!H53</f>
        <v>7.39</v>
      </c>
      <c r="I12" s="9" t="n">
        <f aca="false">MIS!I53</f>
        <v>22.25</v>
      </c>
      <c r="J12" s="9" t="n">
        <f aca="false">MIS!M53</f>
        <v>0</v>
      </c>
      <c r="K12" s="9" t="n">
        <f aca="false">MIS!Q53</f>
        <v>0</v>
      </c>
      <c r="L12" s="9" t="n">
        <f aca="false">MIS!R53</f>
        <v>42.92</v>
      </c>
      <c r="M12" s="9" t="n">
        <f aca="false">L12/12</f>
        <v>3.57666666666667</v>
      </c>
    </row>
    <row r="14" customFormat="false" ht="15" hidden="false" customHeight="false" outlineLevel="0" collapsed="false">
      <c r="A14" s="4" t="s">
        <v>291</v>
      </c>
    </row>
    <row r="15" customFormat="false" ht="15" hidden="false" customHeight="false" outlineLevel="0" collapsed="false">
      <c r="A15" s="5" t="s">
        <v>35</v>
      </c>
      <c r="B15" s="5" t="s">
        <v>426</v>
      </c>
      <c r="C15" s="5" t="s">
        <v>427</v>
      </c>
      <c r="D15" s="5" t="s">
        <v>428</v>
      </c>
      <c r="E15" s="5" t="s">
        <v>39</v>
      </c>
      <c r="F15" s="5" t="s">
        <v>429</v>
      </c>
      <c r="G15" s="5" t="s">
        <v>430</v>
      </c>
      <c r="H15" s="5" t="s">
        <v>431</v>
      </c>
      <c r="I15" s="5" t="s">
        <v>43</v>
      </c>
      <c r="J15" s="5" t="s">
        <v>47</v>
      </c>
      <c r="K15" s="5" t="s">
        <v>51</v>
      </c>
      <c r="L15" s="5" t="s">
        <v>52</v>
      </c>
      <c r="M15" s="5" t="s">
        <v>432</v>
      </c>
    </row>
    <row r="16" customFormat="false" ht="15" hidden="false" customHeight="false" outlineLevel="0" collapsed="false">
      <c r="A16" s="0" t="s">
        <v>88</v>
      </c>
      <c r="B16" s="25" t="n">
        <v>136.43</v>
      </c>
      <c r="C16" s="25" t="n">
        <v>136.51</v>
      </c>
      <c r="D16" s="25" t="n">
        <v>117.91</v>
      </c>
      <c r="E16" s="25" t="n">
        <v>390.85</v>
      </c>
      <c r="F16" s="25" t="n">
        <v>66.14</v>
      </c>
      <c r="G16" s="25" t="n">
        <v>118.32</v>
      </c>
      <c r="H16" s="25" t="n">
        <v>90.49</v>
      </c>
      <c r="I16" s="25" t="n">
        <v>274.95</v>
      </c>
      <c r="J16" s="25" t="n">
        <v>289.12</v>
      </c>
      <c r="K16" s="25" t="n">
        <v>112.1</v>
      </c>
      <c r="L16" s="25" t="n">
        <v>1067.02</v>
      </c>
      <c r="M16" s="9" t="n">
        <f aca="false">L16/12</f>
        <v>88.9183333333333</v>
      </c>
    </row>
    <row r="17" customFormat="false" ht="15" hidden="false" customHeight="false" outlineLevel="0" collapsed="false">
      <c r="A17" s="0" t="s">
        <v>89</v>
      </c>
      <c r="B17" s="25" t="n">
        <v>112.94</v>
      </c>
      <c r="C17" s="25" t="n">
        <v>163.13</v>
      </c>
      <c r="D17" s="25" t="n">
        <v>109.15</v>
      </c>
      <c r="E17" s="25" t="n">
        <v>385.22</v>
      </c>
      <c r="F17" s="25" t="n">
        <v>116.85</v>
      </c>
      <c r="G17" s="25" t="n">
        <v>98.79</v>
      </c>
      <c r="H17" s="25" t="n">
        <v>82</v>
      </c>
      <c r="I17" s="25" t="n">
        <v>297.64</v>
      </c>
      <c r="J17" s="25" t="n">
        <v>342.03</v>
      </c>
      <c r="K17" s="25" t="n">
        <v>110.35</v>
      </c>
      <c r="L17" s="25" t="n">
        <v>1135.24</v>
      </c>
      <c r="M17" s="9" t="n">
        <f aca="false">L17/12</f>
        <v>94.6033333333333</v>
      </c>
    </row>
    <row r="18" customFormat="false" ht="15" hidden="false" customHeight="false" outlineLevel="0" collapsed="false">
      <c r="A18" s="0" t="s">
        <v>90</v>
      </c>
      <c r="B18" s="25" t="n">
        <v>6.36</v>
      </c>
      <c r="C18" s="25" t="n">
        <v>6.68</v>
      </c>
      <c r="D18" s="25" t="n">
        <v>5.56</v>
      </c>
      <c r="E18" s="25" t="n">
        <v>18.6</v>
      </c>
      <c r="F18" s="25" t="n">
        <v>9.79</v>
      </c>
      <c r="G18" s="25" t="n">
        <v>7.89</v>
      </c>
      <c r="H18" s="25" t="n">
        <v>5.15</v>
      </c>
      <c r="I18" s="25" t="n">
        <v>22.83</v>
      </c>
      <c r="J18" s="25" t="n">
        <v>22.25</v>
      </c>
      <c r="K18" s="25" t="n">
        <v>8.36</v>
      </c>
      <c r="L18" s="25" t="n">
        <v>72.04</v>
      </c>
      <c r="M18" s="9" t="n">
        <f aca="false">L18/12</f>
        <v>6.00333333333333</v>
      </c>
    </row>
    <row r="19" customFormat="false" ht="15" hidden="false" customHeight="false" outlineLevel="0" collapsed="false">
      <c r="A19" s="0" t="s">
        <v>433</v>
      </c>
      <c r="B19" s="25" t="n">
        <v>236.73</v>
      </c>
      <c r="C19" s="25" t="n">
        <v>364.16</v>
      </c>
      <c r="D19" s="25" t="n">
        <v>238.11</v>
      </c>
      <c r="E19" s="25" t="n">
        <v>839</v>
      </c>
      <c r="F19" s="25" t="n">
        <v>248.19</v>
      </c>
      <c r="G19" s="25" t="n">
        <v>217.83</v>
      </c>
      <c r="H19" s="25" t="n">
        <v>170.98</v>
      </c>
      <c r="I19" s="25" t="n">
        <v>637</v>
      </c>
      <c r="J19" s="25" t="n">
        <v>784.51</v>
      </c>
      <c r="K19" s="25" t="n">
        <v>228.87</v>
      </c>
      <c r="L19" s="25" t="n">
        <v>2489.38</v>
      </c>
      <c r="M19" s="9" t="n">
        <f aca="false">L19/12</f>
        <v>207.448333333333</v>
      </c>
    </row>
    <row r="20" customFormat="false" ht="15" hidden="false" customHeight="false" outlineLevel="0" collapsed="false">
      <c r="A20" s="0" t="s">
        <v>434</v>
      </c>
      <c r="B20" s="25" t="n">
        <v>355.44</v>
      </c>
      <c r="C20" s="25" t="n">
        <v>307.29</v>
      </c>
      <c r="D20" s="25" t="n">
        <v>280.64</v>
      </c>
      <c r="E20" s="25" t="n">
        <v>943.37</v>
      </c>
      <c r="F20" s="25" t="n">
        <v>282.36</v>
      </c>
      <c r="G20" s="25" t="n">
        <v>259.57</v>
      </c>
      <c r="H20" s="25" t="n">
        <v>227.97</v>
      </c>
      <c r="I20" s="25" t="n">
        <v>769.9</v>
      </c>
      <c r="J20" s="25" t="n">
        <v>899.18</v>
      </c>
      <c r="K20" s="25" t="n">
        <v>358.13</v>
      </c>
      <c r="L20" s="25" t="n">
        <v>2970.58</v>
      </c>
      <c r="M20" s="9" t="n">
        <f aca="false">L20/12</f>
        <v>247.548333333333</v>
      </c>
    </row>
    <row r="21" customFormat="false" ht="15" hidden="false" customHeight="false" outlineLevel="0" collapsed="false">
      <c r="A21" s="0" t="s">
        <v>94</v>
      </c>
      <c r="B21" s="25" t="n">
        <v>19.43</v>
      </c>
      <c r="C21" s="25" t="n">
        <v>53.85</v>
      </c>
      <c r="D21" s="25" t="n">
        <v>20.71</v>
      </c>
      <c r="E21" s="25" t="n">
        <v>93.99</v>
      </c>
      <c r="F21" s="25" t="n">
        <v>18.58</v>
      </c>
      <c r="G21" s="25" t="n">
        <v>17.01</v>
      </c>
      <c r="H21" s="25" t="n">
        <v>11.21</v>
      </c>
      <c r="I21" s="25" t="n">
        <v>46.8</v>
      </c>
      <c r="J21" s="25" t="n">
        <v>61.01</v>
      </c>
      <c r="K21" s="25" t="n">
        <v>-19.37</v>
      </c>
      <c r="L21" s="25" t="n">
        <v>182.43</v>
      </c>
      <c r="M21" s="9" t="n">
        <f aca="false">L21/12</f>
        <v>15.2025</v>
      </c>
    </row>
    <row r="22" customFormat="false" ht="15" hidden="false" customHeight="false" outlineLevel="0" collapsed="false">
      <c r="A22" s="0" t="s">
        <v>435</v>
      </c>
      <c r="B22" s="25" t="n">
        <v>12.87</v>
      </c>
      <c r="C22" s="25" t="n">
        <v>47.27</v>
      </c>
      <c r="D22" s="25" t="n">
        <v>14.13</v>
      </c>
      <c r="E22" s="25" t="n">
        <v>74.27</v>
      </c>
      <c r="F22" s="25" t="n">
        <v>12</v>
      </c>
      <c r="G22" s="25" t="n">
        <v>11.84</v>
      </c>
      <c r="H22" s="25" t="n">
        <v>3.13</v>
      </c>
      <c r="I22" s="25" t="n">
        <v>26.97</v>
      </c>
      <c r="J22" s="25" t="n">
        <v>40.34</v>
      </c>
      <c r="K22" s="25" t="n">
        <v>-40.04</v>
      </c>
      <c r="L22" s="25" t="n">
        <v>101.54</v>
      </c>
      <c r="M22" s="9" t="n">
        <f aca="false">L22/12</f>
        <v>8.46166666666667</v>
      </c>
    </row>
    <row r="23" customFormat="false" ht="15" hidden="false" customHeight="false" outlineLevel="0" collapsed="false">
      <c r="A23" s="0" t="s">
        <v>436</v>
      </c>
      <c r="B23" s="25" t="n">
        <v>6.56</v>
      </c>
      <c r="C23" s="25" t="n">
        <v>6.58</v>
      </c>
      <c r="D23" s="25" t="n">
        <v>6.58</v>
      </c>
      <c r="E23" s="25" t="n">
        <v>19.72</v>
      </c>
      <c r="F23" s="25" t="n">
        <v>6.58</v>
      </c>
      <c r="G23" s="25" t="n">
        <v>5.17</v>
      </c>
      <c r="H23" s="25" t="n">
        <v>8.08</v>
      </c>
      <c r="I23" s="25" t="n">
        <v>19.83</v>
      </c>
      <c r="J23" s="25" t="n">
        <v>20.67</v>
      </c>
      <c r="K23" s="25" t="n">
        <v>20.67</v>
      </c>
      <c r="L23" s="25" t="n">
        <v>80.89</v>
      </c>
      <c r="M23" s="9" t="n">
        <f aca="false">L23/12</f>
        <v>6.74083333333333</v>
      </c>
    </row>
    <row r="25" customFormat="false" ht="15" hidden="false" customHeight="false" outlineLevel="0" collapsed="false">
      <c r="A25" s="4" t="s">
        <v>277</v>
      </c>
    </row>
    <row r="26" customFormat="false" ht="15" hidden="false" customHeight="false" outlineLevel="0" collapsed="false">
      <c r="A26" s="5" t="s">
        <v>35</v>
      </c>
      <c r="B26" s="5" t="s">
        <v>426</v>
      </c>
      <c r="C26" s="5" t="s">
        <v>427</v>
      </c>
      <c r="D26" s="5" t="s">
        <v>428</v>
      </c>
      <c r="E26" s="5" t="s">
        <v>39</v>
      </c>
      <c r="F26" s="5" t="s">
        <v>429</v>
      </c>
      <c r="G26" s="5" t="s">
        <v>430</v>
      </c>
      <c r="H26" s="5" t="s">
        <v>431</v>
      </c>
      <c r="I26" s="5" t="s">
        <v>43</v>
      </c>
      <c r="J26" s="5" t="s">
        <v>47</v>
      </c>
      <c r="K26" s="5" t="s">
        <v>51</v>
      </c>
      <c r="L26" s="5" t="s">
        <v>52</v>
      </c>
      <c r="M26" s="5" t="s">
        <v>432</v>
      </c>
    </row>
    <row r="27" customFormat="false" ht="15" hidden="false" customHeight="false" outlineLevel="0" collapsed="false">
      <c r="A27" s="0" t="s">
        <v>88</v>
      </c>
      <c r="B27" s="25" t="n">
        <v>40.62</v>
      </c>
      <c r="C27" s="25" t="n">
        <v>73.14</v>
      </c>
      <c r="D27" s="25" t="n">
        <v>69.12</v>
      </c>
      <c r="E27" s="25" t="n">
        <v>182.88</v>
      </c>
      <c r="F27" s="25" t="n">
        <v>85.86</v>
      </c>
      <c r="G27" s="25" t="n">
        <v>90.06</v>
      </c>
      <c r="H27" s="25" t="n">
        <v>55.05</v>
      </c>
      <c r="I27" s="25" t="n">
        <v>230.97</v>
      </c>
      <c r="J27" s="25" t="n">
        <v>243.02</v>
      </c>
      <c r="K27" s="25" t="n">
        <v>302.73</v>
      </c>
      <c r="L27" s="25" t="n">
        <v>959.6</v>
      </c>
      <c r="M27" s="9" t="n">
        <f aca="false">L27/12</f>
        <v>79.9666666666667</v>
      </c>
    </row>
    <row r="28" customFormat="false" ht="15" hidden="false" customHeight="false" outlineLevel="0" collapsed="false">
      <c r="A28" s="0" t="s">
        <v>89</v>
      </c>
      <c r="B28" s="25" t="n">
        <v>56.02</v>
      </c>
      <c r="C28" s="25" t="n">
        <v>49.56</v>
      </c>
      <c r="D28" s="25" t="n">
        <v>81.16</v>
      </c>
      <c r="E28" s="25" t="n">
        <v>186.74</v>
      </c>
      <c r="F28" s="25" t="n">
        <v>74.52</v>
      </c>
      <c r="G28" s="25" t="n">
        <v>82.03</v>
      </c>
      <c r="H28" s="25" t="n">
        <v>75.21</v>
      </c>
      <c r="I28" s="25" t="n">
        <v>231.76</v>
      </c>
      <c r="J28" s="25" t="n">
        <v>199.55</v>
      </c>
      <c r="K28" s="25" t="n">
        <v>347.91</v>
      </c>
      <c r="L28" s="25" t="n">
        <v>965.96</v>
      </c>
      <c r="M28" s="9" t="n">
        <f aca="false">L28/12</f>
        <v>80.4966666666667</v>
      </c>
    </row>
    <row r="29" customFormat="false" ht="15" hidden="false" customHeight="false" outlineLevel="0" collapsed="false">
      <c r="A29" s="0" t="s">
        <v>90</v>
      </c>
      <c r="B29" s="25" t="n">
        <v>3.28</v>
      </c>
      <c r="C29" s="25" t="n">
        <v>4.06</v>
      </c>
      <c r="D29" s="25" t="n">
        <v>7.4</v>
      </c>
      <c r="E29" s="25" t="n">
        <v>14.74</v>
      </c>
      <c r="F29" s="25" t="n">
        <v>3.8</v>
      </c>
      <c r="G29" s="25" t="n">
        <v>3.49</v>
      </c>
      <c r="H29" s="25" t="n">
        <v>3.76</v>
      </c>
      <c r="I29" s="25" t="n">
        <v>11.05</v>
      </c>
      <c r="J29" s="25" t="n">
        <v>9</v>
      </c>
      <c r="K29" s="25" t="n">
        <v>17.1</v>
      </c>
      <c r="L29" s="25" t="n">
        <v>51.89</v>
      </c>
      <c r="M29" s="9" t="n">
        <f aca="false">L29/12</f>
        <v>4.32416666666667</v>
      </c>
    </row>
    <row r="30" customFormat="false" ht="15" hidden="false" customHeight="false" outlineLevel="0" collapsed="false">
      <c r="A30" s="0" t="s">
        <v>433</v>
      </c>
      <c r="B30" s="25" t="n">
        <v>122.88</v>
      </c>
      <c r="C30" s="25" t="n">
        <v>92.55</v>
      </c>
      <c r="D30" s="25" t="n">
        <v>171.82</v>
      </c>
      <c r="E30" s="25" t="n">
        <v>387.25</v>
      </c>
      <c r="F30" s="25" t="n">
        <v>150.66</v>
      </c>
      <c r="G30" s="25" t="n">
        <v>173.4</v>
      </c>
      <c r="H30" s="25" t="n">
        <v>152.25</v>
      </c>
      <c r="I30" s="25" t="n">
        <v>476.31</v>
      </c>
      <c r="J30" s="25" t="n">
        <v>439.37</v>
      </c>
      <c r="K30" s="25" t="n">
        <v>650.58</v>
      </c>
      <c r="L30" s="25" t="n">
        <v>1953.51</v>
      </c>
      <c r="M30" s="9" t="n">
        <f aca="false">L30/12</f>
        <v>162.7925</v>
      </c>
    </row>
    <row r="31" customFormat="false" ht="15" hidden="false" customHeight="false" outlineLevel="0" collapsed="false">
      <c r="A31" s="0" t="s">
        <v>434</v>
      </c>
      <c r="B31" s="25" t="n">
        <v>116.42</v>
      </c>
      <c r="C31" s="25" t="n">
        <v>153.1</v>
      </c>
      <c r="D31" s="25" t="n">
        <v>165.47</v>
      </c>
      <c r="E31" s="25" t="n">
        <v>434.99</v>
      </c>
      <c r="F31" s="25" t="n">
        <v>228.5</v>
      </c>
      <c r="G31" s="25" t="n">
        <v>143.24</v>
      </c>
      <c r="H31" s="25" t="n">
        <v>166.46</v>
      </c>
      <c r="I31" s="25" t="n">
        <v>538.2</v>
      </c>
      <c r="J31" s="25" t="n">
        <v>465.28</v>
      </c>
      <c r="K31" s="25" t="n">
        <v>684.39</v>
      </c>
      <c r="L31" s="25" t="n">
        <v>2122.86</v>
      </c>
      <c r="M31" s="9" t="n">
        <f aca="false">L31/12</f>
        <v>176.905</v>
      </c>
    </row>
    <row r="32" customFormat="false" ht="15" hidden="false" customHeight="false" outlineLevel="0" collapsed="false">
      <c r="A32" s="0" t="s">
        <v>94</v>
      </c>
      <c r="B32" s="25" t="n">
        <v>6.45</v>
      </c>
      <c r="C32" s="25" t="n">
        <v>2.65</v>
      </c>
      <c r="D32" s="25" t="n">
        <v>2.51</v>
      </c>
      <c r="E32" s="25" t="n">
        <v>11.61</v>
      </c>
      <c r="F32" s="25" t="n">
        <v>0.65</v>
      </c>
      <c r="G32" s="25" t="n">
        <v>5.73</v>
      </c>
      <c r="H32" s="25" t="n">
        <v>-3.39</v>
      </c>
      <c r="I32" s="25" t="n">
        <v>2.99</v>
      </c>
      <c r="J32" s="25" t="n">
        <v>30.82</v>
      </c>
      <c r="K32" s="25" t="n">
        <v>82.5</v>
      </c>
      <c r="L32" s="25" t="n">
        <v>127.93</v>
      </c>
      <c r="M32" s="9" t="n">
        <f aca="false">L32/12</f>
        <v>10.6608333333333</v>
      </c>
    </row>
    <row r="33" customFormat="false" ht="15" hidden="false" customHeight="false" outlineLevel="0" collapsed="false">
      <c r="A33" s="0" t="s">
        <v>435</v>
      </c>
      <c r="B33" s="25" t="n">
        <v>0.37</v>
      </c>
      <c r="C33" s="25" t="n">
        <v>-3.43</v>
      </c>
      <c r="D33" s="25" t="n">
        <v>-2.85</v>
      </c>
      <c r="E33" s="25" t="n">
        <v>-5.91</v>
      </c>
      <c r="F33" s="25" t="n">
        <v>-6.23</v>
      </c>
      <c r="G33" s="25" t="n">
        <v>-0.41</v>
      </c>
      <c r="H33" s="25" t="n">
        <v>-8.49</v>
      </c>
      <c r="I33" s="25" t="n">
        <v>-15.13</v>
      </c>
      <c r="J33" s="25" t="n">
        <v>18.16</v>
      </c>
      <c r="K33" s="25" t="n">
        <v>57.1</v>
      </c>
      <c r="L33" s="25" t="n">
        <v>54.23</v>
      </c>
      <c r="M33" s="9" t="n">
        <f aca="false">L33/12</f>
        <v>4.51916666666667</v>
      </c>
    </row>
    <row r="34" customFormat="false" ht="15" hidden="false" customHeight="false" outlineLevel="0" collapsed="false">
      <c r="A34" s="0" t="s">
        <v>436</v>
      </c>
      <c r="B34" s="25" t="n">
        <v>6.08</v>
      </c>
      <c r="C34" s="25" t="n">
        <v>6.08</v>
      </c>
      <c r="D34" s="25" t="n">
        <v>5.36</v>
      </c>
      <c r="E34" s="25" t="n">
        <v>17.52</v>
      </c>
      <c r="F34" s="25" t="n">
        <v>6.88</v>
      </c>
      <c r="G34" s="25" t="n">
        <v>6.14</v>
      </c>
      <c r="H34" s="25" t="n">
        <v>5.1</v>
      </c>
      <c r="I34" s="25" t="n">
        <v>18.12</v>
      </c>
      <c r="J34" s="25" t="n">
        <v>12.66</v>
      </c>
      <c r="K34" s="25" t="n">
        <v>25.4</v>
      </c>
      <c r="L34" s="25" t="n">
        <v>73.7</v>
      </c>
      <c r="M34" s="9" t="n">
        <f aca="false">L34/12</f>
        <v>6.14166666666667</v>
      </c>
    </row>
    <row r="36" customFormat="false" ht="15" hidden="false" customHeight="false" outlineLevel="0" collapsed="false">
      <c r="A36" s="4" t="s">
        <v>256</v>
      </c>
    </row>
    <row r="37" customFormat="false" ht="15" hidden="false" customHeight="false" outlineLevel="0" collapsed="false">
      <c r="A37" s="5" t="s">
        <v>35</v>
      </c>
      <c r="B37" s="5" t="s">
        <v>426</v>
      </c>
      <c r="C37" s="5" t="s">
        <v>427</v>
      </c>
      <c r="D37" s="5" t="s">
        <v>428</v>
      </c>
      <c r="E37" s="5" t="s">
        <v>39</v>
      </c>
      <c r="F37" s="5" t="s">
        <v>429</v>
      </c>
      <c r="G37" s="5" t="s">
        <v>430</v>
      </c>
      <c r="H37" s="5" t="s">
        <v>431</v>
      </c>
      <c r="I37" s="5" t="s">
        <v>43</v>
      </c>
      <c r="J37" s="5" t="s">
        <v>47</v>
      </c>
      <c r="K37" s="5" t="s">
        <v>51</v>
      </c>
      <c r="L37" s="5" t="s">
        <v>52</v>
      </c>
      <c r="M37" s="5" t="s">
        <v>432</v>
      </c>
    </row>
    <row r="38" customFormat="false" ht="15" hidden="false" customHeight="false" outlineLevel="0" collapsed="false">
      <c r="A38" s="0" t="s">
        <v>88</v>
      </c>
      <c r="B38" s="25" t="n">
        <v>75.11</v>
      </c>
      <c r="C38" s="25" t="n">
        <v>12.03</v>
      </c>
      <c r="D38" s="25" t="n">
        <v>52.1</v>
      </c>
      <c r="E38" s="25" t="n">
        <v>139.24</v>
      </c>
      <c r="F38" s="25" t="n">
        <v>112.13</v>
      </c>
      <c r="G38" s="25" t="n">
        <v>107.08</v>
      </c>
      <c r="H38" s="25" t="n">
        <v>84.64</v>
      </c>
      <c r="I38" s="25" t="n">
        <v>303.85</v>
      </c>
      <c r="J38" s="25" t="n">
        <v>271.9</v>
      </c>
      <c r="K38" s="25" t="n">
        <v>235.11</v>
      </c>
      <c r="L38" s="25" t="n">
        <v>950.1</v>
      </c>
      <c r="M38" s="9" t="n">
        <f aca="false">L38/12</f>
        <v>79.175</v>
      </c>
    </row>
    <row r="39" customFormat="false" ht="15" hidden="false" customHeight="false" outlineLevel="0" collapsed="false">
      <c r="A39" s="0" t="s">
        <v>89</v>
      </c>
      <c r="B39" s="25" t="n">
        <v>68.03</v>
      </c>
      <c r="C39" s="25" t="n">
        <v>58.52</v>
      </c>
      <c r="D39" s="25" t="n">
        <v>14.31</v>
      </c>
      <c r="E39" s="25" t="n">
        <v>140.86</v>
      </c>
      <c r="F39" s="25" t="n">
        <v>99.37</v>
      </c>
      <c r="G39" s="25" t="n">
        <v>97.33</v>
      </c>
      <c r="H39" s="25" t="n">
        <v>100.89</v>
      </c>
      <c r="I39" s="25" t="n">
        <v>297.59</v>
      </c>
      <c r="J39" s="25" t="n">
        <v>254.19</v>
      </c>
      <c r="K39" s="25" t="n">
        <v>274.18</v>
      </c>
      <c r="L39" s="25" t="n">
        <v>966.82</v>
      </c>
      <c r="M39" s="9" t="n">
        <f aca="false">L39/12</f>
        <v>80.5683333333333</v>
      </c>
    </row>
    <row r="40" customFormat="false" ht="15" hidden="false" customHeight="false" outlineLevel="0" collapsed="false">
      <c r="A40" s="0" t="s">
        <v>90</v>
      </c>
      <c r="B40" s="25" t="n">
        <v>5.05</v>
      </c>
      <c r="C40" s="25" t="n">
        <v>2.1</v>
      </c>
      <c r="D40" s="25" t="n">
        <v>2.01</v>
      </c>
      <c r="E40" s="25" t="n">
        <v>9.16</v>
      </c>
      <c r="F40" s="25" t="n">
        <v>5.98</v>
      </c>
      <c r="G40" s="25" t="n">
        <v>7.44</v>
      </c>
      <c r="H40" s="25" t="n">
        <v>4.76</v>
      </c>
      <c r="I40" s="25" t="n">
        <v>18.18</v>
      </c>
      <c r="J40" s="25" t="n">
        <v>11.97</v>
      </c>
      <c r="K40" s="25" t="n">
        <v>22.79</v>
      </c>
      <c r="L40" s="25" t="n">
        <v>62.1</v>
      </c>
      <c r="M40" s="9" t="n">
        <f aca="false">L40/12</f>
        <v>5.175</v>
      </c>
    </row>
    <row r="41" customFormat="false" ht="15" hidden="false" customHeight="false" outlineLevel="0" collapsed="false">
      <c r="A41" s="0" t="s">
        <v>433</v>
      </c>
      <c r="B41" s="25" t="n">
        <v>190.22</v>
      </c>
      <c r="C41" s="25" t="n">
        <v>154.24</v>
      </c>
      <c r="D41" s="25" t="n">
        <v>25.11</v>
      </c>
      <c r="E41" s="25" t="n">
        <v>369.57</v>
      </c>
      <c r="F41" s="25" t="n">
        <v>220.08</v>
      </c>
      <c r="G41" s="25" t="n">
        <v>204.74</v>
      </c>
      <c r="H41" s="25" t="n">
        <v>209.19</v>
      </c>
      <c r="I41" s="25" t="n">
        <v>634.01</v>
      </c>
      <c r="J41" s="25" t="n">
        <v>485.64</v>
      </c>
      <c r="K41" s="25" t="n">
        <v>576.92</v>
      </c>
      <c r="L41" s="25" t="n">
        <v>2066.14</v>
      </c>
      <c r="M41" s="9" t="n">
        <f aca="false">L41/12</f>
        <v>172.178333333333</v>
      </c>
    </row>
    <row r="42" customFormat="false" ht="15" hidden="false" customHeight="false" outlineLevel="0" collapsed="false">
      <c r="A42" s="0" t="s">
        <v>434</v>
      </c>
      <c r="B42" s="25" t="n">
        <v>289.76</v>
      </c>
      <c r="C42" s="25" t="n">
        <v>152.09</v>
      </c>
      <c r="D42" s="25" t="n">
        <v>90.74</v>
      </c>
      <c r="E42" s="25" t="n">
        <v>532.59</v>
      </c>
      <c r="F42" s="25" t="n">
        <v>92.89</v>
      </c>
      <c r="G42" s="25" t="n">
        <v>341</v>
      </c>
      <c r="H42" s="25" t="n">
        <v>244.59</v>
      </c>
      <c r="I42" s="25" t="n">
        <v>678.48</v>
      </c>
      <c r="J42" s="25" t="n">
        <v>541.48</v>
      </c>
      <c r="K42" s="25" t="n">
        <v>693.78</v>
      </c>
      <c r="L42" s="25" t="n">
        <v>2446.33</v>
      </c>
      <c r="M42" s="9" t="n">
        <f aca="false">L42/12</f>
        <v>203.860833333333</v>
      </c>
    </row>
    <row r="43" customFormat="false" ht="15" hidden="false" customHeight="false" outlineLevel="0" collapsed="false">
      <c r="A43" s="0" t="s">
        <v>94</v>
      </c>
      <c r="B43" s="25" t="n">
        <v>11.56</v>
      </c>
      <c r="C43" s="25" t="n">
        <v>4.13</v>
      </c>
      <c r="D43" s="25" t="n">
        <v>-24.14</v>
      </c>
      <c r="E43" s="25" t="n">
        <v>-8.45</v>
      </c>
      <c r="F43" s="25" t="n">
        <v>21.87</v>
      </c>
      <c r="G43" s="25" t="n">
        <v>37.93</v>
      </c>
      <c r="H43" s="25" t="n">
        <v>39.33</v>
      </c>
      <c r="I43" s="25" t="n">
        <v>99.13</v>
      </c>
      <c r="J43" s="25" t="n">
        <v>35.37</v>
      </c>
      <c r="K43" s="25" t="n">
        <v>31.81</v>
      </c>
      <c r="L43" s="25" t="n">
        <v>157.86</v>
      </c>
      <c r="M43" s="9" t="n">
        <f aca="false">L43/12</f>
        <v>13.155</v>
      </c>
    </row>
    <row r="44" customFormat="false" ht="15" hidden="false" customHeight="false" outlineLevel="0" collapsed="false">
      <c r="A44" s="0" t="s">
        <v>435</v>
      </c>
      <c r="B44" s="25" t="n">
        <v>6.7</v>
      </c>
      <c r="C44" s="25" t="n">
        <v>-1.29</v>
      </c>
      <c r="D44" s="25" t="n">
        <v>-25.7</v>
      </c>
      <c r="E44" s="25" t="n">
        <v>-20.29</v>
      </c>
      <c r="F44" s="25" t="n">
        <v>17.77</v>
      </c>
      <c r="G44" s="25" t="n">
        <v>33.9</v>
      </c>
      <c r="H44" s="25" t="n">
        <v>35.23</v>
      </c>
      <c r="I44" s="25" t="n">
        <v>86.9</v>
      </c>
      <c r="J44" s="25" t="n">
        <v>26.78</v>
      </c>
      <c r="K44" s="25" t="n">
        <v>25.98</v>
      </c>
      <c r="L44" s="25" t="n">
        <v>119.37</v>
      </c>
      <c r="M44" s="9" t="n">
        <f aca="false">L44/12</f>
        <v>9.9475</v>
      </c>
    </row>
    <row r="45" customFormat="false" ht="15" hidden="false" customHeight="false" outlineLevel="0" collapsed="false">
      <c r="A45" s="0" t="s">
        <v>436</v>
      </c>
      <c r="B45" s="25" t="n">
        <v>4.86</v>
      </c>
      <c r="C45" s="25" t="n">
        <v>5.42</v>
      </c>
      <c r="D45" s="25" t="n">
        <v>1.56</v>
      </c>
      <c r="E45" s="25" t="n">
        <v>11.84</v>
      </c>
      <c r="F45" s="25" t="n">
        <v>4.91</v>
      </c>
      <c r="G45" s="25" t="n">
        <v>4.91</v>
      </c>
      <c r="H45" s="25" t="n">
        <v>4.91</v>
      </c>
      <c r="I45" s="25" t="n">
        <v>14.73</v>
      </c>
      <c r="J45" s="25" t="n">
        <v>13.88</v>
      </c>
      <c r="K45" s="25" t="n">
        <v>18.31</v>
      </c>
      <c r="L45" s="25" t="n">
        <v>58.76</v>
      </c>
      <c r="M45" s="9" t="n">
        <f aca="false">L45/12</f>
        <v>4.89666666666667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2026-10-09T11:44:35Z</dcterms:created>
  <dc:creator>openpyxl</dc:creator>
  <dc:description/>
  <dc:language>en-US</dc:language>
  <cp:lastModifiedBy/>
  <dcterms:modified xsi:type="dcterms:W3CDTF">2026-10-09T11:44:35Z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